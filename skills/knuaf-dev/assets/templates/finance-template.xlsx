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01  학교 강의준비\05 창업논문지도\2026\동현 연습파일_특작\"/>
    </mc:Choice>
  </mc:AlternateContent>
  <xr:revisionPtr revIDLastSave="0" documentId="13_ncr:1_{E3640C0D-2DA9-4777-9B66-BDBF0165B5CF}" xr6:coauthVersionLast="47" xr6:coauthVersionMax="47" xr10:uidLastSave="{00000000-0000-0000-0000-000000000000}"/>
  <bookViews>
    <workbookView xWindow="-120" yWindow="-120" windowWidth="38640" windowHeight="21120" tabRatio="926" activeTab="15" xr2:uid="{00000000-000D-0000-FFFF-FFFF00000000}"/>
  </bookViews>
  <sheets>
    <sheet name="목록" sheetId="36" r:id="rId1"/>
    <sheet name="1. 기초재무상태조사" sheetId="33" r:id="rId2"/>
    <sheet name="2. 중장기영농목표" sheetId="37" r:id="rId3"/>
    <sheet name="3.투자계획" sheetId="39" r:id="rId4"/>
    <sheet name="4. 원리금상환계획" sheetId="18" r:id="rId5"/>
    <sheet name=" 5. 판매계획" sheetId="21" r:id="rId6"/>
    <sheet name="6. 생산계획" sheetId="43" r:id="rId7"/>
    <sheet name="7. 영농자재소요계획" sheetId="26" r:id="rId8"/>
    <sheet name="8. 노무비계획" sheetId="41" r:id="rId9"/>
    <sheet name="9 .경비계획" sheetId="31" r:id="rId10"/>
    <sheet name="10. 감가상각비계획 " sheetId="22" r:id="rId11"/>
    <sheet name="11. 생산원가계획" sheetId="28" r:id="rId12"/>
    <sheet name="12 손익계획" sheetId="29" r:id="rId13"/>
    <sheet name="13. 추정대차대조표" sheetId="30" r:id="rId14"/>
    <sheet name="14. 현금흐름계획" sheetId="25" r:id="rId15"/>
    <sheet name="15.추정소득분석" sheetId="44" r:id="rId16"/>
    <sheet name="참고1. 모델농장분석" sheetId="45" state="hidden" r:id="rId17"/>
  </sheets>
  <definedNames>
    <definedName name="_Fill" hidden="1">#REF!</definedName>
    <definedName name="_xlnm.Print_Area" localSheetId="5">' 5. 판매계획'!$B$2:$O$46</definedName>
    <definedName name="_xlnm.Print_Area" localSheetId="1">'1. 기초재무상태조사'!$B$2:$H$58</definedName>
    <definedName name="_xlnm.Print_Area" localSheetId="10">'10. 감가상각비계획 '!$B$2:$K$62</definedName>
    <definedName name="_xlnm.Print_Area" localSheetId="11">'11. 생산원가계획'!$B$2:$G$35</definedName>
    <definedName name="_xlnm.Print_Area" localSheetId="12">'12 손익계획'!$B$2:$G$26</definedName>
    <definedName name="_xlnm.Print_Area" localSheetId="13">'13. 추정대차대조표'!$B$2:$H$34</definedName>
    <definedName name="_xlnm.Print_Area" localSheetId="14">'14. 현금흐름계획'!$B$2:$I$24</definedName>
    <definedName name="_xlnm.Print_Area" localSheetId="15">'15.추정소득분석'!$B$2:$I$32</definedName>
    <definedName name="_xlnm.Print_Area" localSheetId="2">'2. 중장기영농목표'!$B$2:$H$21</definedName>
    <definedName name="_xlnm.Print_Area" localSheetId="3">'3.투자계획'!$B$2:$I$40</definedName>
    <definedName name="_xlnm.Print_Area" localSheetId="4">'4. 원리금상환계획'!$B$2:$G$61</definedName>
    <definedName name="_xlnm.Print_Area" localSheetId="6">'6. 생산계획'!$B$2:$Y$11</definedName>
    <definedName name="_xlnm.Print_Area" localSheetId="7">'7. 영농자재소요계획'!$B$2:$G$61</definedName>
    <definedName name="_xlnm.Print_Area" localSheetId="8">'8. 노무비계획'!$B$2:$U$19</definedName>
    <definedName name="_xlnm.Print_Area" localSheetId="9">'9 .경비계획'!$B$2:$E$110</definedName>
    <definedName name="_xlnm.Print_Area" localSheetId="0">목록!$B$2:$J$36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41" l="1"/>
  <c r="Z27" i="41"/>
  <c r="F8" i="44"/>
  <c r="G8" i="44"/>
  <c r="H8" i="44"/>
  <c r="I8" i="44"/>
  <c r="F9" i="44"/>
  <c r="G9" i="44"/>
  <c r="H9" i="44"/>
  <c r="I9" i="44"/>
  <c r="F10" i="44"/>
  <c r="G10" i="44"/>
  <c r="H10" i="44"/>
  <c r="I10" i="44"/>
  <c r="F11" i="44"/>
  <c r="G11" i="44"/>
  <c r="H11" i="44"/>
  <c r="I11" i="44"/>
  <c r="F12" i="44"/>
  <c r="G12" i="44"/>
  <c r="H12" i="44"/>
  <c r="I12" i="44"/>
  <c r="E12" i="44"/>
  <c r="E9" i="44"/>
  <c r="E10" i="44"/>
  <c r="E11" i="44"/>
  <c r="E8" i="44"/>
  <c r="F29" i="44" l="1"/>
  <c r="G29" i="44"/>
  <c r="H29" i="44"/>
  <c r="I29" i="44"/>
  <c r="E29" i="44"/>
  <c r="F23" i="44"/>
  <c r="G23" i="44"/>
  <c r="H23" i="44"/>
  <c r="I23" i="44"/>
  <c r="E23" i="44"/>
  <c r="L43" i="21"/>
  <c r="L42" i="21"/>
  <c r="L41" i="21"/>
  <c r="L40" i="21"/>
  <c r="L39" i="21"/>
  <c r="L38" i="21"/>
  <c r="J43" i="21"/>
  <c r="J42" i="21"/>
  <c r="J41" i="21"/>
  <c r="J40" i="21"/>
  <c r="J39" i="21"/>
  <c r="J38" i="21"/>
  <c r="H43" i="21"/>
  <c r="H42" i="21"/>
  <c r="H41" i="21"/>
  <c r="H40" i="21"/>
  <c r="H39" i="21"/>
  <c r="H38" i="21"/>
  <c r="D43" i="21"/>
  <c r="D42" i="21"/>
  <c r="D41" i="21"/>
  <c r="D40" i="21"/>
  <c r="D39" i="21"/>
  <c r="D38" i="21"/>
  <c r="F43" i="21"/>
  <c r="F42" i="21"/>
  <c r="F41" i="21"/>
  <c r="F40" i="21"/>
  <c r="F39" i="21"/>
  <c r="F38" i="21"/>
  <c r="D5" i="28"/>
  <c r="E5" i="28"/>
  <c r="F5" i="28"/>
  <c r="G5" i="28"/>
  <c r="C5" i="28"/>
  <c r="G10" i="28"/>
  <c r="G9" i="28"/>
  <c r="G8" i="28"/>
  <c r="G7" i="28"/>
  <c r="G6" i="28"/>
  <c r="F10" i="28"/>
  <c r="F9" i="28"/>
  <c r="F8" i="28"/>
  <c r="F7" i="28"/>
  <c r="F6" i="28"/>
  <c r="E10" i="28"/>
  <c r="E9" i="28"/>
  <c r="E8" i="28"/>
  <c r="E7" i="28"/>
  <c r="E6" i="28"/>
  <c r="D10" i="28"/>
  <c r="D9" i="28"/>
  <c r="D8" i="28"/>
  <c r="D7" i="28"/>
  <c r="D6" i="28"/>
  <c r="C10" i="28"/>
  <c r="C9" i="28"/>
  <c r="C8" i="28"/>
  <c r="C7" i="28"/>
  <c r="C6" i="28"/>
  <c r="C18" i="31"/>
  <c r="C38" i="31" s="1"/>
  <c r="C77" i="31"/>
  <c r="C76" i="31"/>
  <c r="C57" i="31"/>
  <c r="C56" i="31"/>
  <c r="C17" i="31"/>
  <c r="C37" i="31" s="1"/>
  <c r="C16" i="31"/>
  <c r="C36" i="31" s="1"/>
  <c r="H60" i="22"/>
  <c r="H61" i="22" s="1"/>
  <c r="H62" i="22" s="1"/>
  <c r="H48" i="22"/>
  <c r="H49" i="22" s="1"/>
  <c r="H50" i="22" s="1"/>
  <c r="H36" i="22"/>
  <c r="H37" i="22" s="1"/>
  <c r="H38" i="22" s="1"/>
  <c r="F60" i="22"/>
  <c r="F61" i="22" s="1"/>
  <c r="F62" i="22" s="1"/>
  <c r="E60" i="22"/>
  <c r="E61" i="22" s="1"/>
  <c r="E62" i="22" s="1"/>
  <c r="D60" i="22"/>
  <c r="D61" i="22" s="1"/>
  <c r="D62" i="22" s="1"/>
  <c r="C60" i="22"/>
  <c r="C61" i="22" s="1"/>
  <c r="C62" i="22" s="1"/>
  <c r="F48" i="22"/>
  <c r="F49" i="22" s="1"/>
  <c r="F50" i="22" s="1"/>
  <c r="E48" i="22"/>
  <c r="E49" i="22" s="1"/>
  <c r="E50" i="22" s="1"/>
  <c r="D48" i="22"/>
  <c r="D49" i="22" s="1"/>
  <c r="D50" i="22" s="1"/>
  <c r="C48" i="22"/>
  <c r="C49" i="22" s="1"/>
  <c r="C50" i="22" s="1"/>
  <c r="F36" i="22"/>
  <c r="F37" i="22" s="1"/>
  <c r="F38" i="22" s="1"/>
  <c r="E36" i="22"/>
  <c r="E37" i="22" s="1"/>
  <c r="E38" i="22" s="1"/>
  <c r="D36" i="22"/>
  <c r="D37" i="22" s="1"/>
  <c r="D38" i="22" s="1"/>
  <c r="C36" i="22"/>
  <c r="C37" i="22" s="1"/>
  <c r="C38" i="22" s="1"/>
  <c r="F24" i="22"/>
  <c r="F25" i="22" s="1"/>
  <c r="F26" i="22" s="1"/>
  <c r="E24" i="22"/>
  <c r="E25" i="22" s="1"/>
  <c r="E26" i="22" s="1"/>
  <c r="D24" i="22"/>
  <c r="D25" i="22" s="1"/>
  <c r="D26" i="22" s="1"/>
  <c r="C24" i="22"/>
  <c r="C25" i="22" s="1"/>
  <c r="C26" i="22" s="1"/>
  <c r="F14" i="22"/>
  <c r="D13" i="22"/>
  <c r="E13" i="22"/>
  <c r="F13" i="22"/>
  <c r="D12" i="22"/>
  <c r="E12" i="22"/>
  <c r="F12" i="22"/>
  <c r="C12" i="22"/>
  <c r="H59" i="22"/>
  <c r="F59" i="22"/>
  <c r="E59" i="22"/>
  <c r="D59" i="22"/>
  <c r="C59" i="22"/>
  <c r="H47" i="22"/>
  <c r="F47" i="22"/>
  <c r="E47" i="22"/>
  <c r="D47" i="22"/>
  <c r="C47" i="22"/>
  <c r="H35" i="22"/>
  <c r="F35" i="22"/>
  <c r="E35" i="22"/>
  <c r="D35" i="22"/>
  <c r="C35" i="22"/>
  <c r="H23" i="22"/>
  <c r="D23" i="22"/>
  <c r="E23" i="22"/>
  <c r="F23" i="22"/>
  <c r="C23" i="22"/>
  <c r="H58" i="22"/>
  <c r="F58" i="22"/>
  <c r="E58" i="22"/>
  <c r="D58" i="22"/>
  <c r="C58" i="22"/>
  <c r="H57" i="22"/>
  <c r="F57" i="22"/>
  <c r="E57" i="22"/>
  <c r="D57" i="22"/>
  <c r="C57" i="22"/>
  <c r="H46" i="22"/>
  <c r="F46" i="22"/>
  <c r="E46" i="22"/>
  <c r="D46" i="22"/>
  <c r="C46" i="22"/>
  <c r="H45" i="22"/>
  <c r="F45" i="22"/>
  <c r="E45" i="22"/>
  <c r="D45" i="22"/>
  <c r="C45" i="22"/>
  <c r="H34" i="22"/>
  <c r="F34" i="22"/>
  <c r="E34" i="22"/>
  <c r="D34" i="22"/>
  <c r="C34" i="22"/>
  <c r="H33" i="22"/>
  <c r="F33" i="22"/>
  <c r="E33" i="22"/>
  <c r="D33" i="22"/>
  <c r="C33" i="22"/>
  <c r="H22" i="22"/>
  <c r="H21" i="22"/>
  <c r="D21" i="22"/>
  <c r="E21" i="22"/>
  <c r="F21" i="22"/>
  <c r="D22" i="22"/>
  <c r="E22" i="22"/>
  <c r="F22" i="22"/>
  <c r="C22" i="22"/>
  <c r="C21" i="22"/>
  <c r="F56" i="22"/>
  <c r="E56" i="22"/>
  <c r="D56" i="22"/>
  <c r="C56" i="22"/>
  <c r="F44" i="22"/>
  <c r="E44" i="22"/>
  <c r="D44" i="22"/>
  <c r="C44" i="22"/>
  <c r="F32" i="22"/>
  <c r="E32" i="22"/>
  <c r="D32" i="22"/>
  <c r="C32" i="22"/>
  <c r="D20" i="22"/>
  <c r="E20" i="22"/>
  <c r="F20" i="22"/>
  <c r="C20" i="22"/>
  <c r="F55" i="22"/>
  <c r="E55" i="22"/>
  <c r="D55" i="22"/>
  <c r="C55" i="22"/>
  <c r="F43" i="22"/>
  <c r="E43" i="22"/>
  <c r="D43" i="22"/>
  <c r="C43" i="22"/>
  <c r="F31" i="22"/>
  <c r="E31" i="22"/>
  <c r="D31" i="22"/>
  <c r="C31" i="22"/>
  <c r="D19" i="22"/>
  <c r="E19" i="22"/>
  <c r="F19" i="22"/>
  <c r="C19" i="22"/>
  <c r="G56" i="22"/>
  <c r="G44" i="22"/>
  <c r="G32" i="22"/>
  <c r="G20" i="22"/>
  <c r="G8" i="22"/>
  <c r="H8" i="22"/>
  <c r="H7" i="22"/>
  <c r="F8" i="22"/>
  <c r="E8" i="22"/>
  <c r="D8" i="22"/>
  <c r="C8" i="22"/>
  <c r="F7" i="22"/>
  <c r="E7" i="22"/>
  <c r="D7" i="22"/>
  <c r="C7" i="22"/>
  <c r="G12" i="22" l="1"/>
  <c r="AD30" i="41"/>
  <c r="AC30" i="41"/>
  <c r="AD29" i="41"/>
  <c r="AC29" i="41"/>
  <c r="AC28" i="41"/>
  <c r="AD28" i="41"/>
  <c r="AC27" i="41"/>
  <c r="X27" i="41"/>
  <c r="X28" i="41" s="1"/>
  <c r="X29" i="41" s="1"/>
  <c r="X30" i="41" s="1"/>
  <c r="X31" i="41" s="1"/>
  <c r="X32" i="41" s="1"/>
  <c r="X33" i="41" s="1"/>
  <c r="X34" i="41" s="1"/>
  <c r="X35" i="41" s="1"/>
  <c r="X36" i="41" s="1"/>
  <c r="X37" i="41" s="1"/>
  <c r="X38" i="41" s="1"/>
  <c r="AD26" i="41"/>
  <c r="AC26" i="41"/>
  <c r="AC38" i="41" s="1"/>
  <c r="Y32" i="41" s="1"/>
  <c r="Y33" i="41" s="1"/>
  <c r="Y34" i="41" s="1"/>
  <c r="F11" i="41" s="1"/>
  <c r="I11" i="41" s="1"/>
  <c r="L11" i="41" s="1"/>
  <c r="O11" i="41" s="1"/>
  <c r="R11" i="41" s="1"/>
  <c r="AB26" i="41"/>
  <c r="AB27" i="41" s="1"/>
  <c r="AB28" i="41" s="1"/>
  <c r="AB29" i="41" s="1"/>
  <c r="AB30" i="41" s="1"/>
  <c r="AB31" i="41" s="1"/>
  <c r="AB32" i="41" s="1"/>
  <c r="AB33" i="41" s="1"/>
  <c r="AB34" i="41" s="1"/>
  <c r="AB35" i="41" s="1"/>
  <c r="AB36" i="41" s="1"/>
  <c r="AB37" i="41" s="1"/>
  <c r="Y35" i="41" l="1"/>
  <c r="L26" i="41"/>
  <c r="L27" i="41" s="1"/>
  <c r="L28" i="41" s="1"/>
  <c r="L29" i="41" s="1"/>
  <c r="L30" i="41" s="1"/>
  <c r="L31" i="41" s="1"/>
  <c r="L32" i="41" s="1"/>
  <c r="L33" i="41" s="1"/>
  <c r="P26" i="41"/>
  <c r="P27" i="41" s="1"/>
  <c r="P28" i="41" s="1"/>
  <c r="P29" i="41" s="1"/>
  <c r="P30" i="41" s="1"/>
  <c r="P31" i="41" s="1"/>
  <c r="P32" i="41" s="1"/>
  <c r="P33" i="41" s="1"/>
  <c r="AD38" i="41"/>
  <c r="Z32" i="41" s="1"/>
  <c r="AD27" i="41"/>
  <c r="I8" i="41" l="1"/>
  <c r="F10" i="41"/>
  <c r="Z33" i="41"/>
  <c r="Z34" i="41" s="1"/>
  <c r="S26" i="41"/>
  <c r="S27" i="41" s="1"/>
  <c r="S28" i="41" s="1"/>
  <c r="S29" i="41" s="1"/>
  <c r="S30" i="41" s="1"/>
  <c r="S31" i="41" s="1"/>
  <c r="S32" i="41" s="1"/>
  <c r="S33" i="41" s="1"/>
  <c r="Y36" i="41"/>
  <c r="Y37" i="41" s="1"/>
  <c r="Y38" i="41" s="1"/>
  <c r="P40" i="41"/>
  <c r="P41" i="41" s="1"/>
  <c r="P42" i="41" s="1"/>
  <c r="P43" i="41" s="1"/>
  <c r="P44" i="41" s="1"/>
  <c r="P45" i="41" s="1"/>
  <c r="P46" i="41" s="1"/>
  <c r="P47" i="41" s="1"/>
  <c r="L40" i="41"/>
  <c r="L41" i="41" s="1"/>
  <c r="L42" i="41" s="1"/>
  <c r="L43" i="41" s="1"/>
  <c r="L44" i="41" s="1"/>
  <c r="L45" i="41" s="1"/>
  <c r="L46" i="41" s="1"/>
  <c r="L47" i="41" s="1"/>
  <c r="Z35" i="41" l="1"/>
  <c r="Z36" i="41" s="1"/>
  <c r="Z37" i="41" s="1"/>
  <c r="Z38" i="41" s="1"/>
  <c r="F12" i="41"/>
  <c r="I12" i="41" s="1"/>
  <c r="L12" i="41" s="1"/>
  <c r="O12" i="41" s="1"/>
  <c r="R12" i="41" s="1"/>
  <c r="L8" i="41"/>
  <c r="I10" i="41"/>
  <c r="S40" i="41" l="1"/>
  <c r="S41" i="41" s="1"/>
  <c r="S42" i="41" s="1"/>
  <c r="S43" i="41" s="1"/>
  <c r="S44" i="41" s="1"/>
  <c r="S45" i="41" s="1"/>
  <c r="S46" i="41" s="1"/>
  <c r="S47" i="41" s="1"/>
  <c r="O8" i="41"/>
  <c r="L10" i="41"/>
  <c r="C19" i="26"/>
  <c r="C18" i="26"/>
  <c r="C17" i="26"/>
  <c r="C16" i="26"/>
  <c r="C44" i="21"/>
  <c r="C42" i="21"/>
  <c r="C43" i="21"/>
  <c r="E42" i="21"/>
  <c r="G42" i="21"/>
  <c r="I42" i="21"/>
  <c r="K42" i="21"/>
  <c r="C41" i="21"/>
  <c r="K39" i="21"/>
  <c r="I39" i="21"/>
  <c r="G39" i="21"/>
  <c r="E39" i="21"/>
  <c r="C39" i="21"/>
  <c r="C40" i="21"/>
  <c r="C38" i="21"/>
  <c r="R8" i="41" l="1"/>
  <c r="R10" i="41" s="1"/>
  <c r="O10" i="41"/>
  <c r="M28" i="21"/>
  <c r="K43" i="21" s="1"/>
  <c r="M27" i="21"/>
  <c r="M26" i="21"/>
  <c r="K41" i="21" s="1"/>
  <c r="K27" i="21"/>
  <c r="K28" i="21"/>
  <c r="I43" i="21" s="1"/>
  <c r="K26" i="21"/>
  <c r="I41" i="21" s="1"/>
  <c r="M23" i="21"/>
  <c r="M24" i="21"/>
  <c r="K40" i="21" s="1"/>
  <c r="K23" i="21"/>
  <c r="K24" i="21"/>
  <c r="I40" i="21" s="1"/>
  <c r="M22" i="21"/>
  <c r="K38" i="21" s="1"/>
  <c r="K22" i="21"/>
  <c r="I38" i="21" s="1"/>
  <c r="I28" i="21"/>
  <c r="G43" i="21" s="1"/>
  <c r="I27" i="21"/>
  <c r="I26" i="21"/>
  <c r="G41" i="21" s="1"/>
  <c r="I23" i="21"/>
  <c r="I24" i="21"/>
  <c r="G40" i="21" s="1"/>
  <c r="I22" i="21"/>
  <c r="G38" i="21" s="1"/>
  <c r="G27" i="21"/>
  <c r="G28" i="21"/>
  <c r="E43" i="21" s="1"/>
  <c r="G26" i="21"/>
  <c r="G23" i="21"/>
  <c r="G24" i="21"/>
  <c r="E40" i="21" s="1"/>
  <c r="G22" i="21"/>
  <c r="E38" i="21" s="1"/>
  <c r="L29" i="21"/>
  <c r="M29" i="21"/>
  <c r="L25" i="21"/>
  <c r="J29" i="21"/>
  <c r="J25" i="21"/>
  <c r="H29" i="21"/>
  <c r="H25" i="21"/>
  <c r="F29" i="21"/>
  <c r="F25" i="21"/>
  <c r="D29" i="21"/>
  <c r="D25" i="21"/>
  <c r="E28" i="21"/>
  <c r="E27" i="21"/>
  <c r="E26" i="21"/>
  <c r="E23" i="21"/>
  <c r="E24" i="21"/>
  <c r="E22" i="21"/>
  <c r="K6" i="21"/>
  <c r="I6" i="21" s="1"/>
  <c r="G6" i="21" s="1"/>
  <c r="E6" i="21" s="1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8" i="18"/>
  <c r="C42" i="18"/>
  <c r="C49" i="18"/>
  <c r="C48" i="18"/>
  <c r="D48" i="18"/>
  <c r="E48" i="18" s="1"/>
  <c r="D47" i="18"/>
  <c r="E47" i="18" s="1"/>
  <c r="F49" i="18"/>
  <c r="F50" i="18" s="1"/>
  <c r="F51" i="18" s="1"/>
  <c r="F52" i="18" s="1"/>
  <c r="F53" i="18" s="1"/>
  <c r="F54" i="18" s="1"/>
  <c r="F55" i="18" s="1"/>
  <c r="F56" i="18" s="1"/>
  <c r="F57" i="18" s="1"/>
  <c r="F58" i="18" s="1"/>
  <c r="F59" i="18" s="1"/>
  <c r="F60" i="18" s="1"/>
  <c r="F61" i="18" s="1"/>
  <c r="F62" i="18" s="1"/>
  <c r="F63" i="18" s="1"/>
  <c r="F64" i="18" s="1"/>
  <c r="F65" i="18" s="1"/>
  <c r="F66" i="18" s="1"/>
  <c r="F48" i="18"/>
  <c r="F47" i="18"/>
  <c r="C47" i="18"/>
  <c r="G38" i="18"/>
  <c r="D42" i="18"/>
  <c r="C44" i="18"/>
  <c r="C45" i="18" s="1"/>
  <c r="C46" i="18" s="1"/>
  <c r="C43" i="18"/>
  <c r="K44" i="21" l="1"/>
  <c r="I44" i="21"/>
  <c r="G44" i="21"/>
  <c r="E44" i="21"/>
  <c r="G29" i="21"/>
  <c r="E41" i="21"/>
  <c r="K25" i="21"/>
  <c r="F30" i="21"/>
  <c r="G30" i="21" s="1"/>
  <c r="I29" i="21"/>
  <c r="E29" i="21"/>
  <c r="E25" i="21"/>
  <c r="D30" i="21"/>
  <c r="E30" i="21" s="1"/>
  <c r="E31" i="21" s="1"/>
  <c r="G25" i="21"/>
  <c r="I25" i="21"/>
  <c r="M25" i="21"/>
  <c r="K29" i="21"/>
  <c r="L30" i="21"/>
  <c r="M30" i="21" s="1"/>
  <c r="J30" i="21"/>
  <c r="K30" i="21" s="1"/>
  <c r="K31" i="21" s="1"/>
  <c r="H30" i="21"/>
  <c r="I30" i="21" s="1"/>
  <c r="C50" i="18"/>
  <c r="D49" i="18"/>
  <c r="E49" i="18" s="1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8" i="18"/>
  <c r="B42" i="18" s="1"/>
  <c r="D38" i="18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C9" i="39"/>
  <c r="C10" i="39"/>
  <c r="C11" i="39"/>
  <c r="C12" i="39"/>
  <c r="C8" i="39"/>
  <c r="H24" i="39"/>
  <c r="B26" i="39"/>
  <c r="B27" i="39"/>
  <c r="B28" i="39"/>
  <c r="B25" i="39"/>
  <c r="B19" i="39"/>
  <c r="B10" i="39"/>
  <c r="B11" i="39" s="1"/>
  <c r="B12" i="39" s="1"/>
  <c r="B9" i="39"/>
  <c r="E36" i="29"/>
  <c r="E37" i="29"/>
  <c r="G37" i="29"/>
  <c r="F37" i="29"/>
  <c r="D36" i="29"/>
  <c r="C36" i="29"/>
  <c r="E31" i="29"/>
  <c r="D12" i="25"/>
  <c r="C16" i="30"/>
  <c r="D16" i="30" s="1"/>
  <c r="E16" i="30" s="1"/>
  <c r="F16" i="30" s="1"/>
  <c r="G16" i="30" s="1"/>
  <c r="H16" i="30" s="1"/>
  <c r="M31" i="21" l="1"/>
  <c r="F31" i="21"/>
  <c r="G31" i="21"/>
  <c r="D31" i="21"/>
  <c r="I31" i="21"/>
  <c r="L31" i="21"/>
  <c r="J31" i="21"/>
  <c r="H31" i="21"/>
  <c r="D50" i="18"/>
  <c r="E50" i="18" s="1"/>
  <c r="C51" i="18" s="1"/>
  <c r="C37" i="29"/>
  <c r="D37" i="29"/>
  <c r="F36" i="29"/>
  <c r="G36" i="29"/>
  <c r="G20" i="25"/>
  <c r="G16" i="25"/>
  <c r="G15" i="25"/>
  <c r="G9" i="25"/>
  <c r="E8" i="25"/>
  <c r="F20" i="25"/>
  <c r="D11" i="30"/>
  <c r="C106" i="31"/>
  <c r="C86" i="31"/>
  <c r="C66" i="31"/>
  <c r="C26" i="31"/>
  <c r="C27" i="28" s="1"/>
  <c r="K9" i="43"/>
  <c r="N9" i="43" s="1"/>
  <c r="Q9" i="43" s="1"/>
  <c r="R34" i="41"/>
  <c r="I34" i="41"/>
  <c r="G8" i="41"/>
  <c r="J8" i="41"/>
  <c r="D51" i="18" l="1"/>
  <c r="E51" i="18" s="1"/>
  <c r="C52" i="18" s="1"/>
  <c r="I13" i="41"/>
  <c r="N12" i="41"/>
  <c r="K12" i="41"/>
  <c r="G19" i="26"/>
  <c r="G18" i="26"/>
  <c r="G17" i="26"/>
  <c r="Q7" i="43"/>
  <c r="K7" i="43"/>
  <c r="H7" i="43"/>
  <c r="N7" i="43"/>
  <c r="D52" i="18" l="1"/>
  <c r="E52" i="18" s="1"/>
  <c r="C53" i="18" s="1"/>
  <c r="C27" i="26"/>
  <c r="K8" i="41"/>
  <c r="K10" i="41" s="1"/>
  <c r="L13" i="41"/>
  <c r="E14" i="22"/>
  <c r="D9" i="25"/>
  <c r="F6" i="44"/>
  <c r="G6" i="44"/>
  <c r="H6" i="44"/>
  <c r="I6" i="44"/>
  <c r="E6" i="44"/>
  <c r="F19" i="44"/>
  <c r="G19" i="44"/>
  <c r="H19" i="44"/>
  <c r="I19" i="44"/>
  <c r="E19" i="44"/>
  <c r="F24" i="44"/>
  <c r="G24" i="44"/>
  <c r="H24" i="44"/>
  <c r="I24" i="44"/>
  <c r="E24" i="44"/>
  <c r="D24" i="30"/>
  <c r="E24" i="30"/>
  <c r="F24" i="30"/>
  <c r="G24" i="30"/>
  <c r="H24" i="30"/>
  <c r="C24" i="30"/>
  <c r="C33" i="28"/>
  <c r="D12" i="30" s="1"/>
  <c r="D33" i="28"/>
  <c r="E33" i="28"/>
  <c r="F33" i="28"/>
  <c r="G33" i="28"/>
  <c r="C34" i="28"/>
  <c r="D34" i="28"/>
  <c r="E34" i="28"/>
  <c r="F34" i="28"/>
  <c r="G34" i="28"/>
  <c r="D32" i="28"/>
  <c r="E32" i="28"/>
  <c r="F32" i="28"/>
  <c r="G32" i="28"/>
  <c r="C32" i="28"/>
  <c r="C58" i="31"/>
  <c r="C78" i="31" s="1"/>
  <c r="C98" i="31" s="1"/>
  <c r="D53" i="18" l="1"/>
  <c r="E53" i="18" s="1"/>
  <c r="C54" i="18" s="1"/>
  <c r="C37" i="26"/>
  <c r="G37" i="26" s="1"/>
  <c r="G27" i="26"/>
  <c r="E29" i="30"/>
  <c r="F29" i="30"/>
  <c r="O13" i="41"/>
  <c r="H29" i="30"/>
  <c r="G29" i="30"/>
  <c r="D29" i="30"/>
  <c r="G28" i="28"/>
  <c r="C29" i="26"/>
  <c r="C28" i="26"/>
  <c r="C47" i="26" l="1"/>
  <c r="D54" i="18"/>
  <c r="E54" i="18" s="1"/>
  <c r="C55" i="18" s="1"/>
  <c r="C39" i="26"/>
  <c r="G29" i="26"/>
  <c r="G16" i="26"/>
  <c r="G21" i="26" s="1"/>
  <c r="C26" i="26"/>
  <c r="C36" i="26" s="1"/>
  <c r="C46" i="26" s="1"/>
  <c r="C56" i="26" s="1"/>
  <c r="C57" i="26"/>
  <c r="G57" i="26" s="1"/>
  <c r="G47" i="26"/>
  <c r="C38" i="26"/>
  <c r="G28" i="26"/>
  <c r="R48" i="41"/>
  <c r="K48" i="41"/>
  <c r="I48" i="41"/>
  <c r="R46" i="41"/>
  <c r="O46" i="41"/>
  <c r="R45" i="41"/>
  <c r="O45" i="41"/>
  <c r="R44" i="41"/>
  <c r="O44" i="41"/>
  <c r="R43" i="41"/>
  <c r="O43" i="41"/>
  <c r="R42" i="41"/>
  <c r="O42" i="41"/>
  <c r="R41" i="41"/>
  <c r="O41" i="41"/>
  <c r="R40" i="41"/>
  <c r="O40" i="41"/>
  <c r="F23" i="39"/>
  <c r="G23" i="39"/>
  <c r="G24" i="39" s="1"/>
  <c r="F22" i="39"/>
  <c r="E22" i="39" s="1"/>
  <c r="D55" i="18" l="1"/>
  <c r="E55" i="18" s="1"/>
  <c r="C56" i="18" s="1"/>
  <c r="F24" i="39"/>
  <c r="C48" i="26"/>
  <c r="G38" i="26"/>
  <c r="C49" i="26"/>
  <c r="G39" i="26"/>
  <c r="O48" i="41"/>
  <c r="C27" i="31"/>
  <c r="C28" i="31"/>
  <c r="C47" i="31"/>
  <c r="C67" i="31"/>
  <c r="C87" i="31"/>
  <c r="C107" i="31"/>
  <c r="D56" i="18" l="1"/>
  <c r="E56" i="18" s="1"/>
  <c r="C57" i="18" s="1"/>
  <c r="C59" i="26"/>
  <c r="G59" i="26" s="1"/>
  <c r="G49" i="26"/>
  <c r="C58" i="26"/>
  <c r="G58" i="26" s="1"/>
  <c r="G48" i="26"/>
  <c r="T9" i="43"/>
  <c r="T7" i="43" s="1"/>
  <c r="K34" i="41"/>
  <c r="R27" i="41"/>
  <c r="R28" i="41"/>
  <c r="R29" i="41"/>
  <c r="R30" i="41"/>
  <c r="R31" i="41"/>
  <c r="R32" i="41"/>
  <c r="R26" i="41"/>
  <c r="O28" i="41"/>
  <c r="O29" i="41"/>
  <c r="O30" i="41"/>
  <c r="O31" i="41"/>
  <c r="O32" i="41"/>
  <c r="O27" i="41"/>
  <c r="O26" i="41"/>
  <c r="D57" i="18" l="1"/>
  <c r="E57" i="18" s="1"/>
  <c r="C58" i="18" s="1"/>
  <c r="O34" i="41"/>
  <c r="G26" i="26"/>
  <c r="G31" i="26" s="1"/>
  <c r="C19" i="30"/>
  <c r="C18" i="30"/>
  <c r="G36" i="26" l="1"/>
  <c r="G41" i="26" s="1"/>
  <c r="G56" i="26" l="1"/>
  <c r="G61" i="26" s="1"/>
  <c r="G46" i="26"/>
  <c r="G51" i="26" s="1"/>
  <c r="F28" i="39"/>
  <c r="F27" i="39"/>
  <c r="F26" i="39"/>
  <c r="F25" i="39"/>
  <c r="E29" i="28" l="1"/>
  <c r="F29" i="28"/>
  <c r="G29" i="28"/>
  <c r="D29" i="28"/>
  <c r="F27" i="28"/>
  <c r="E27" i="28"/>
  <c r="D27" i="28"/>
  <c r="G27" i="28"/>
  <c r="C108" i="31"/>
  <c r="C88" i="31"/>
  <c r="C68" i="31"/>
  <c r="C48" i="31"/>
  <c r="C29" i="30"/>
  <c r="C30" i="30"/>
  <c r="D21" i="30"/>
  <c r="E21" i="30"/>
  <c r="F21" i="30"/>
  <c r="G21" i="30"/>
  <c r="H21" i="30"/>
  <c r="C21" i="30"/>
  <c r="C20" i="30"/>
  <c r="C24" i="31" l="1"/>
  <c r="C44" i="31"/>
  <c r="C64" i="31"/>
  <c r="C84" i="31"/>
  <c r="C104" i="31"/>
  <c r="O11" i="21" l="1"/>
  <c r="H12" i="22" l="1"/>
  <c r="H13" i="22" s="1"/>
  <c r="H14" i="22" s="1"/>
  <c r="H24" i="22"/>
  <c r="H25" i="22" s="1"/>
  <c r="H26" i="22" s="1"/>
  <c r="C17" i="29" l="1"/>
  <c r="D17" i="29"/>
  <c r="E17" i="29"/>
  <c r="F17" i="29"/>
  <c r="G17" i="29"/>
  <c r="G16" i="29"/>
  <c r="F16" i="29"/>
  <c r="E16" i="29"/>
  <c r="D16" i="29"/>
  <c r="C16" i="29"/>
  <c r="C24" i="28" l="1"/>
  <c r="G26" i="28" l="1"/>
  <c r="F26" i="28"/>
  <c r="I21" i="44" s="1"/>
  <c r="E26" i="28"/>
  <c r="G21" i="44" s="1"/>
  <c r="D26" i="28"/>
  <c r="C26" i="28"/>
  <c r="G60" i="22"/>
  <c r="G48" i="22"/>
  <c r="D14" i="22"/>
  <c r="C29" i="31"/>
  <c r="I22" i="44"/>
  <c r="G36" i="22" l="1"/>
  <c r="G24" i="22"/>
  <c r="C13" i="22"/>
  <c r="G13" i="22" s="1"/>
  <c r="C21" i="31"/>
  <c r="G61" i="22"/>
  <c r="G25" i="22"/>
  <c r="G49" i="22"/>
  <c r="C96" i="31"/>
  <c r="F22" i="44"/>
  <c r="H22" i="44"/>
  <c r="F21" i="44"/>
  <c r="H21" i="44"/>
  <c r="E21" i="44"/>
  <c r="S34" i="41"/>
  <c r="E10" i="25"/>
  <c r="I20" i="22"/>
  <c r="E28" i="39"/>
  <c r="E27" i="39"/>
  <c r="E26" i="39"/>
  <c r="E25" i="39"/>
  <c r="E21" i="39"/>
  <c r="E20" i="39"/>
  <c r="D15" i="25" s="1"/>
  <c r="E22" i="44"/>
  <c r="G37" i="22" l="1"/>
  <c r="G26" i="22"/>
  <c r="G38" i="22"/>
  <c r="G50" i="22"/>
  <c r="G62" i="22"/>
  <c r="C14" i="22"/>
  <c r="G14" i="22" s="1"/>
  <c r="U32" i="41"/>
  <c r="U28" i="41"/>
  <c r="U26" i="41"/>
  <c r="U33" i="41"/>
  <c r="U34" i="41" s="1"/>
  <c r="U29" i="41"/>
  <c r="U31" i="41"/>
  <c r="U27" i="41"/>
  <c r="U30" i="41"/>
  <c r="C25" i="28"/>
  <c r="D25" i="28"/>
  <c r="F25" i="28"/>
  <c r="G25" i="28"/>
  <c r="G22" i="44"/>
  <c r="E25" i="28"/>
  <c r="I25" i="22"/>
  <c r="I26" i="22"/>
  <c r="I24" i="22"/>
  <c r="S48" i="41" l="1"/>
  <c r="U44" i="41"/>
  <c r="U40" i="41"/>
  <c r="U41" i="41"/>
  <c r="U47" i="41"/>
  <c r="U48" i="41" s="1"/>
  <c r="U43" i="41"/>
  <c r="U46" i="41"/>
  <c r="U42" i="41"/>
  <c r="U45" i="41"/>
  <c r="N31" i="41"/>
  <c r="N33" i="41"/>
  <c r="N32" i="41"/>
  <c r="N26" i="41"/>
  <c r="N30" i="41"/>
  <c r="N28" i="41"/>
  <c r="N29" i="41"/>
  <c r="N27" i="41"/>
  <c r="E19" i="39"/>
  <c r="D16" i="25" l="1"/>
  <c r="E24" i="39"/>
  <c r="N34" i="41"/>
  <c r="O7" i="21"/>
  <c r="F13" i="41" l="1"/>
  <c r="M13" i="41"/>
  <c r="S13" i="41"/>
  <c r="J13" i="41"/>
  <c r="H12" i="41"/>
  <c r="H11" i="41"/>
  <c r="N40" i="41" l="1"/>
  <c r="N41" i="41"/>
  <c r="H13" i="41"/>
  <c r="K11" i="41"/>
  <c r="T12" i="41"/>
  <c r="Q12" i="41"/>
  <c r="N44" i="41" l="1"/>
  <c r="N42" i="41"/>
  <c r="N46" i="41"/>
  <c r="N45" i="41"/>
  <c r="N47" i="41"/>
  <c r="P48" i="41"/>
  <c r="N43" i="41"/>
  <c r="E17" i="44"/>
  <c r="C23" i="31"/>
  <c r="D20" i="30"/>
  <c r="N11" i="41"/>
  <c r="N48" i="41" l="1"/>
  <c r="Q11" i="41"/>
  <c r="E20" i="30" l="1"/>
  <c r="D24" i="28"/>
  <c r="F17" i="44" s="1"/>
  <c r="C43" i="31"/>
  <c r="R13" i="41"/>
  <c r="T11" i="41"/>
  <c r="E24" i="28" l="1"/>
  <c r="G17" i="44" s="1"/>
  <c r="C63" i="31"/>
  <c r="F20" i="30"/>
  <c r="G20" i="30" l="1"/>
  <c r="F24" i="28"/>
  <c r="H17" i="44" s="1"/>
  <c r="C83" i="31"/>
  <c r="G24" i="28" l="1"/>
  <c r="I17" i="44" s="1"/>
  <c r="C103" i="31"/>
  <c r="H20" i="30"/>
  <c r="F13" i="30"/>
  <c r="E41" i="33" l="1"/>
  <c r="C25" i="30" l="1"/>
  <c r="C26" i="30" s="1"/>
  <c r="D13" i="30"/>
  <c r="E13" i="30"/>
  <c r="G13" i="30"/>
  <c r="H13" i="30"/>
  <c r="D14" i="30"/>
  <c r="E14" i="30"/>
  <c r="F14" i="30"/>
  <c r="G14" i="30"/>
  <c r="H14" i="30"/>
  <c r="C14" i="30"/>
  <c r="E11" i="30"/>
  <c r="F11" i="30"/>
  <c r="G11" i="30"/>
  <c r="H11" i="30"/>
  <c r="C11" i="30"/>
  <c r="C12" i="30"/>
  <c r="C13" i="30"/>
  <c r="C10" i="30"/>
  <c r="C9" i="30"/>
  <c r="G25" i="29"/>
  <c r="F25" i="29"/>
  <c r="E25" i="29"/>
  <c r="D25" i="29"/>
  <c r="C25" i="29"/>
  <c r="G19" i="29"/>
  <c r="F19" i="29"/>
  <c r="E19" i="29"/>
  <c r="D19" i="29"/>
  <c r="C19" i="29"/>
  <c r="G18" i="29"/>
  <c r="F18" i="29"/>
  <c r="E18" i="29"/>
  <c r="D18" i="29"/>
  <c r="C18" i="29"/>
  <c r="D14" i="29"/>
  <c r="E14" i="29"/>
  <c r="F14" i="29"/>
  <c r="G14" i="29"/>
  <c r="C14" i="29"/>
  <c r="C11" i="29" s="1"/>
  <c r="D10" i="25"/>
  <c r="E13" i="25"/>
  <c r="F13" i="25"/>
  <c r="G13" i="25"/>
  <c r="H13" i="25"/>
  <c r="D13" i="25"/>
  <c r="E9" i="25"/>
  <c r="F9" i="25"/>
  <c r="H9" i="25"/>
  <c r="F10" i="25"/>
  <c r="G10" i="25"/>
  <c r="H10" i="25"/>
  <c r="D11" i="25"/>
  <c r="E11" i="25"/>
  <c r="F11" i="25"/>
  <c r="G11" i="25"/>
  <c r="H11" i="25"/>
  <c r="E20" i="25"/>
  <c r="D20" i="25"/>
  <c r="D18" i="25"/>
  <c r="F15" i="25"/>
  <c r="H15" i="25"/>
  <c r="F16" i="25"/>
  <c r="H16" i="25"/>
  <c r="G8" i="25"/>
  <c r="H8" i="25"/>
  <c r="D8" i="25"/>
  <c r="F8" i="25"/>
  <c r="D22" i="29"/>
  <c r="E22" i="29"/>
  <c r="F22" i="29"/>
  <c r="G22" i="29"/>
  <c r="C22" i="29"/>
  <c r="E11" i="29" l="1"/>
  <c r="F18" i="25" s="1"/>
  <c r="D11" i="29"/>
  <c r="E18" i="25" s="1"/>
  <c r="G11" i="29"/>
  <c r="H18" i="25" s="1"/>
  <c r="F11" i="29"/>
  <c r="G18" i="25" s="1"/>
  <c r="D10" i="30"/>
  <c r="C8" i="30"/>
  <c r="D8" i="39" l="1"/>
  <c r="C35" i="31" l="1"/>
  <c r="C30" i="28"/>
  <c r="E30" i="28"/>
  <c r="F30" i="28"/>
  <c r="G30" i="28"/>
  <c r="D30" i="28"/>
  <c r="C29" i="28"/>
  <c r="G20" i="28"/>
  <c r="I13" i="44" s="1"/>
  <c r="F20" i="28"/>
  <c r="H13" i="44" s="1"/>
  <c r="E20" i="28"/>
  <c r="G13" i="44" s="1"/>
  <c r="D20" i="28"/>
  <c r="F13" i="44" s="1"/>
  <c r="C20" i="28"/>
  <c r="E13" i="44" s="1"/>
  <c r="C14" i="28"/>
  <c r="D14" i="28"/>
  <c r="E14" i="28"/>
  <c r="F14" i="28"/>
  <c r="G14" i="28"/>
  <c r="D13" i="28"/>
  <c r="E13" i="28"/>
  <c r="F13" i="28"/>
  <c r="G13" i="28"/>
  <c r="C13" i="28"/>
  <c r="E8" i="29"/>
  <c r="F8" i="29"/>
  <c r="G8" i="29"/>
  <c r="C8" i="29"/>
  <c r="D8" i="29"/>
  <c r="H8" i="41" l="1"/>
  <c r="H10" i="41" s="1"/>
  <c r="G10" i="41"/>
  <c r="H14" i="44"/>
  <c r="G14" i="44"/>
  <c r="F14" i="44"/>
  <c r="I14" i="44"/>
  <c r="E14" i="44"/>
  <c r="I32" i="22"/>
  <c r="C55" i="31" s="1"/>
  <c r="K13" i="41"/>
  <c r="J10" i="41" l="1"/>
  <c r="I44" i="22"/>
  <c r="I36" i="22"/>
  <c r="C62" i="31" s="1"/>
  <c r="D15" i="28"/>
  <c r="F25" i="44" s="1"/>
  <c r="E19" i="28"/>
  <c r="C15" i="28"/>
  <c r="E25" i="44" s="1"/>
  <c r="D19" i="28"/>
  <c r="N13" i="41"/>
  <c r="P8" i="41"/>
  <c r="M8" i="41"/>
  <c r="C12" i="28"/>
  <c r="E30" i="44" s="1"/>
  <c r="Q13" i="41"/>
  <c r="P10" i="41" l="1"/>
  <c r="Q8" i="41"/>
  <c r="Q10" i="41" s="1"/>
  <c r="F19" i="28"/>
  <c r="C75" i="31"/>
  <c r="N8" i="41"/>
  <c r="N10" i="41" s="1"/>
  <c r="M10" i="41"/>
  <c r="I37" i="22"/>
  <c r="I56" i="22"/>
  <c r="C97" i="31" s="1"/>
  <c r="C95" i="31" s="1"/>
  <c r="I48" i="22"/>
  <c r="S8" i="41"/>
  <c r="S10" i="41" s="1"/>
  <c r="C11" i="28"/>
  <c r="F15" i="28"/>
  <c r="H25" i="44" s="1"/>
  <c r="E15" i="28"/>
  <c r="G25" i="44" s="1"/>
  <c r="D12" i="28"/>
  <c r="F30" i="44" s="1"/>
  <c r="T13" i="41"/>
  <c r="E18" i="30" l="1"/>
  <c r="I49" i="22"/>
  <c r="I38" i="22"/>
  <c r="G19" i="28"/>
  <c r="I60" i="22"/>
  <c r="T8" i="41"/>
  <c r="T10" i="41" s="1"/>
  <c r="D11" i="28"/>
  <c r="E12" i="28"/>
  <c r="G30" i="44" s="1"/>
  <c r="G15" i="28"/>
  <c r="I25" i="44" s="1"/>
  <c r="F12" i="28"/>
  <c r="C42" i="31"/>
  <c r="D23" i="28"/>
  <c r="F15" i="44" s="1"/>
  <c r="I50" i="22" l="1"/>
  <c r="G18" i="30" s="1"/>
  <c r="I61" i="22"/>
  <c r="F11" i="28"/>
  <c r="H30" i="44"/>
  <c r="G12" i="28"/>
  <c r="I30" i="44" s="1"/>
  <c r="E11" i="28"/>
  <c r="E23" i="28"/>
  <c r="G15" i="44" s="1"/>
  <c r="G23" i="28"/>
  <c r="I15" i="44" s="1"/>
  <c r="C102" i="31"/>
  <c r="F18" i="30"/>
  <c r="I62" i="22" l="1"/>
  <c r="H18" i="30" s="1"/>
  <c r="G11" i="28"/>
  <c r="F12" i="39" l="1"/>
  <c r="H12" i="25" s="1"/>
  <c r="E12" i="39"/>
  <c r="D12" i="39"/>
  <c r="F11" i="39"/>
  <c r="G12" i="25" s="1"/>
  <c r="E11" i="39"/>
  <c r="D11" i="39"/>
  <c r="F10" i="39"/>
  <c r="F12" i="25" s="1"/>
  <c r="E10" i="39"/>
  <c r="D10" i="39"/>
  <c r="F9" i="39"/>
  <c r="E12" i="25" s="1"/>
  <c r="E9" i="39"/>
  <c r="D9" i="39"/>
  <c r="E13" i="39" l="1"/>
  <c r="I8" i="22" l="1"/>
  <c r="C15" i="31" s="1"/>
  <c r="D13" i="39"/>
  <c r="C19" i="28" l="1"/>
  <c r="C13" i="39"/>
  <c r="I12" i="22"/>
  <c r="C23" i="28" l="1"/>
  <c r="E15" i="44" s="1"/>
  <c r="C22" i="31"/>
  <c r="C20" i="31" s="1"/>
  <c r="D25" i="30"/>
  <c r="D26" i="30" s="1"/>
  <c r="D43" i="18"/>
  <c r="D21" i="29" s="1"/>
  <c r="D20" i="29" s="1"/>
  <c r="E19" i="25" s="1"/>
  <c r="D45" i="18"/>
  <c r="C21" i="29"/>
  <c r="C20" i="29" s="1"/>
  <c r="D19" i="25" s="1"/>
  <c r="D44" i="18"/>
  <c r="E21" i="29" s="1"/>
  <c r="E20" i="29" s="1"/>
  <c r="F19" i="25" s="1"/>
  <c r="D18" i="28"/>
  <c r="C18" i="28"/>
  <c r="G18" i="28"/>
  <c r="G17" i="28" s="1"/>
  <c r="I18" i="44" s="1"/>
  <c r="E18" i="28"/>
  <c r="F18" i="28"/>
  <c r="F17" i="28" s="1"/>
  <c r="H18" i="44" s="1"/>
  <c r="C22" i="28"/>
  <c r="E16" i="44" s="1"/>
  <c r="D19" i="30"/>
  <c r="I14" i="22"/>
  <c r="I13" i="22"/>
  <c r="F21" i="29" l="1"/>
  <c r="F20" i="29" s="1"/>
  <c r="G19" i="25" s="1"/>
  <c r="F45" i="18"/>
  <c r="D18" i="30"/>
  <c r="D17" i="30" s="1"/>
  <c r="D15" i="30" s="1"/>
  <c r="C17" i="30"/>
  <c r="C15" i="30" s="1"/>
  <c r="C22" i="30" s="1"/>
  <c r="C28" i="30" s="1"/>
  <c r="C21" i="28"/>
  <c r="F43" i="18"/>
  <c r="E25" i="30"/>
  <c r="E26" i="30" s="1"/>
  <c r="C30" i="31"/>
  <c r="E17" i="28"/>
  <c r="G18" i="44" s="1"/>
  <c r="C17" i="28"/>
  <c r="E18" i="44" s="1"/>
  <c r="D17" i="28"/>
  <c r="F18" i="44" s="1"/>
  <c r="F42" i="18"/>
  <c r="F44" i="18"/>
  <c r="E22" i="28"/>
  <c r="G16" i="44" s="1"/>
  <c r="G20" i="44" s="1"/>
  <c r="G26" i="44" s="1"/>
  <c r="C61" i="31"/>
  <c r="F22" i="28"/>
  <c r="H16" i="44" s="1"/>
  <c r="C81" i="31"/>
  <c r="C41" i="31"/>
  <c r="D22" i="28"/>
  <c r="F16" i="44" s="1"/>
  <c r="G22" i="28"/>
  <c r="I16" i="44" s="1"/>
  <c r="I20" i="44" s="1"/>
  <c r="I26" i="44" s="1"/>
  <c r="C101" i="31"/>
  <c r="H19" i="30"/>
  <c r="H17" i="30" s="1"/>
  <c r="H15" i="30" s="1"/>
  <c r="F19" i="30"/>
  <c r="F17" i="30" s="1"/>
  <c r="F15" i="30" s="1"/>
  <c r="E19" i="30"/>
  <c r="E17" i="30" s="1"/>
  <c r="E15" i="30" s="1"/>
  <c r="G19" i="30"/>
  <c r="G17" i="30" s="1"/>
  <c r="G15" i="30" s="1"/>
  <c r="E20" i="44" l="1"/>
  <c r="E26" i="44" s="1"/>
  <c r="E27" i="44" s="1"/>
  <c r="E31" i="44" s="1"/>
  <c r="F20" i="44"/>
  <c r="F26" i="44" s="1"/>
  <c r="C16" i="28"/>
  <c r="C31" i="30"/>
  <c r="C32" i="30" s="1"/>
  <c r="D28" i="30"/>
  <c r="E28" i="30" s="1"/>
  <c r="F28" i="30" s="1"/>
  <c r="G28" i="30" s="1"/>
  <c r="H28" i="30" s="1"/>
  <c r="G21" i="28"/>
  <c r="G16" i="28" s="1"/>
  <c r="D21" i="28"/>
  <c r="D16" i="28" s="1"/>
  <c r="E21" i="28"/>
  <c r="E16" i="28" s="1"/>
  <c r="F25" i="30"/>
  <c r="F26" i="30" s="1"/>
  <c r="C60" i="31"/>
  <c r="C70" i="31" s="1"/>
  <c r="C40" i="31"/>
  <c r="C50" i="31" s="1"/>
  <c r="C100" i="31"/>
  <c r="C110" i="31" s="1"/>
  <c r="D46" i="18"/>
  <c r="G21" i="29" l="1"/>
  <c r="G20" i="29" s="1"/>
  <c r="H19" i="25" s="1"/>
  <c r="F46" i="18"/>
  <c r="G25" i="30"/>
  <c r="G26" i="30" s="1"/>
  <c r="C31" i="28"/>
  <c r="G31" i="28"/>
  <c r="H20" i="25" l="1"/>
  <c r="D31" i="28"/>
  <c r="D35" i="28" s="1"/>
  <c r="D9" i="29" s="1"/>
  <c r="D17" i="25"/>
  <c r="D21" i="25" s="1"/>
  <c r="E31" i="28"/>
  <c r="H17" i="25"/>
  <c r="C35" i="28"/>
  <c r="C9" i="29" s="1"/>
  <c r="H21" i="25" l="1"/>
  <c r="F17" i="25"/>
  <c r="F21" i="25" s="1"/>
  <c r="E17" i="25"/>
  <c r="E21" i="25" s="1"/>
  <c r="D58" i="18" l="1"/>
  <c r="E58" i="18" s="1"/>
  <c r="H25" i="30"/>
  <c r="H26" i="30" s="1"/>
  <c r="E35" i="28"/>
  <c r="E9" i="29" s="1"/>
  <c r="E12" i="30"/>
  <c r="E10" i="30" s="1"/>
  <c r="G35" i="28"/>
  <c r="G9" i="29" s="1"/>
  <c r="C59" i="18" l="1"/>
  <c r="D59" i="18"/>
  <c r="F12" i="30" l="1"/>
  <c r="F10" i="30" s="1"/>
  <c r="E59" i="18" l="1"/>
  <c r="C60" i="18" s="1"/>
  <c r="D60" i="18" l="1"/>
  <c r="E60" i="18" l="1"/>
  <c r="C61" i="18" s="1"/>
  <c r="D61" i="18" l="1"/>
  <c r="E61" i="18" l="1"/>
  <c r="C62" i="18" s="1"/>
  <c r="C82" i="31"/>
  <c r="F23" i="28"/>
  <c r="H15" i="44" l="1"/>
  <c r="F21" i="28"/>
  <c r="F16" i="28" s="1"/>
  <c r="C80" i="31"/>
  <c r="C90" i="31" s="1"/>
  <c r="H20" i="44" l="1"/>
  <c r="H26" i="44" s="1"/>
  <c r="D62" i="18"/>
  <c r="E62" i="18" s="1"/>
  <c r="C63" i="18" s="1"/>
  <c r="H12" i="30"/>
  <c r="H10" i="30" s="1"/>
  <c r="G12" i="30" l="1"/>
  <c r="G10" i="30" s="1"/>
  <c r="D63" i="18" l="1"/>
  <c r="E63" i="18" s="1"/>
  <c r="C64" i="18" s="1"/>
  <c r="D64" i="18" l="1"/>
  <c r="E64" i="18" s="1"/>
  <c r="C65" i="18" s="1"/>
  <c r="D65" i="18" l="1"/>
  <c r="E65" i="18" s="1"/>
  <c r="C66" i="18" s="1"/>
  <c r="D7" i="29"/>
  <c r="D6" i="29" s="1"/>
  <c r="F5" i="44"/>
  <c r="F7" i="44" s="1"/>
  <c r="F27" i="44" l="1"/>
  <c r="D10" i="29"/>
  <c r="D15" i="29" s="1"/>
  <c r="D23" i="29" s="1"/>
  <c r="D26" i="29" s="1"/>
  <c r="D11" i="37" s="1"/>
  <c r="D10" i="37"/>
  <c r="E7" i="25"/>
  <c r="E14" i="25" s="1"/>
  <c r="E22" i="25" s="1"/>
  <c r="G5" i="44"/>
  <c r="G7" i="44" s="1"/>
  <c r="E7" i="29"/>
  <c r="E6" i="29" s="1"/>
  <c r="G27" i="44" l="1"/>
  <c r="F31" i="44"/>
  <c r="F32" i="44" s="1"/>
  <c r="F28" i="44"/>
  <c r="D66" i="18"/>
  <c r="E66" i="18" s="1"/>
  <c r="D12" i="37"/>
  <c r="G7" i="29"/>
  <c r="G6" i="29" s="1"/>
  <c r="I5" i="44"/>
  <c r="I7" i="44" s="1"/>
  <c r="F7" i="25"/>
  <c r="F14" i="25" s="1"/>
  <c r="F22" i="25" s="1"/>
  <c r="E10" i="37"/>
  <c r="E10" i="29"/>
  <c r="E15" i="29" s="1"/>
  <c r="E23" i="29" s="1"/>
  <c r="E26" i="29" s="1"/>
  <c r="F7" i="29"/>
  <c r="F6" i="29" s="1"/>
  <c r="H5" i="44"/>
  <c r="H7" i="44" s="1"/>
  <c r="H27" i="44" l="1"/>
  <c r="I27" i="44"/>
  <c r="G31" i="44"/>
  <c r="G32" i="44" s="1"/>
  <c r="G28" i="44"/>
  <c r="H7" i="25"/>
  <c r="H14" i="25" s="1"/>
  <c r="H22" i="25" s="1"/>
  <c r="G10" i="29"/>
  <c r="G15" i="29" s="1"/>
  <c r="G23" i="29" s="1"/>
  <c r="G26" i="29" s="1"/>
  <c r="G10" i="37"/>
  <c r="G7" i="25"/>
  <c r="G14" i="25" s="1"/>
  <c r="F10" i="37"/>
  <c r="E11" i="37"/>
  <c r="E12" i="37" s="1"/>
  <c r="I31" i="44" l="1"/>
  <c r="I32" i="44" s="1"/>
  <c r="I28" i="44"/>
  <c r="H31" i="44"/>
  <c r="H32" i="44" s="1"/>
  <c r="H28" i="44"/>
  <c r="G11" i="37"/>
  <c r="G12" i="37" s="1"/>
  <c r="F31" i="28"/>
  <c r="G17" i="25" l="1"/>
  <c r="G21" i="25" s="1"/>
  <c r="G22" i="25" s="1"/>
  <c r="F35" i="28"/>
  <c r="F9" i="29" s="1"/>
  <c r="F10" i="29" s="1"/>
  <c r="F15" i="29" s="1"/>
  <c r="F23" i="29" s="1"/>
  <c r="F26" i="29" s="1"/>
  <c r="F11" i="37" l="1"/>
  <c r="F12" i="37" s="1"/>
  <c r="E5" i="44"/>
  <c r="C7" i="29" l="1"/>
  <c r="C6" i="29" s="1"/>
  <c r="D7" i="25" l="1"/>
  <c r="C10" i="37"/>
  <c r="C10" i="29"/>
  <c r="C15" i="29" s="1"/>
  <c r="C23" i="29" s="1"/>
  <c r="C26" i="29" s="1"/>
  <c r="C11" i="37" s="1"/>
  <c r="D14" i="25"/>
  <c r="D22" i="25" s="1"/>
  <c r="C12" i="37" l="1"/>
  <c r="D30" i="30"/>
  <c r="D23" i="25"/>
  <c r="D9" i="30" s="1"/>
  <c r="D8" i="30" s="1"/>
  <c r="D22" i="30" s="1"/>
  <c r="E30" i="30" l="1"/>
  <c r="E31" i="30" s="1"/>
  <c r="E32" i="30" s="1"/>
  <c r="D31" i="30"/>
  <c r="D32" i="30" s="1"/>
  <c r="D34" i="30" s="1"/>
  <c r="E23" i="25"/>
  <c r="F23" i="25" s="1"/>
  <c r="F30" i="30" l="1"/>
  <c r="F31" i="30" s="1"/>
  <c r="F32" i="30" s="1"/>
  <c r="E9" i="30"/>
  <c r="E8" i="30" s="1"/>
  <c r="E22" i="30" s="1"/>
  <c r="E34" i="30" s="1"/>
  <c r="F9" i="30"/>
  <c r="F8" i="30" s="1"/>
  <c r="F22" i="30" s="1"/>
  <c r="G23" i="25"/>
  <c r="G30" i="30" l="1"/>
  <c r="G31" i="30" s="1"/>
  <c r="G32" i="30" s="1"/>
  <c r="F34" i="30"/>
  <c r="G9" i="30"/>
  <c r="G8" i="30" s="1"/>
  <c r="G22" i="30" s="1"/>
  <c r="H23" i="25"/>
  <c r="H9" i="30" s="1"/>
  <c r="H8" i="30" s="1"/>
  <c r="H22" i="30" s="1"/>
  <c r="H30" i="30" l="1"/>
  <c r="H31" i="30" s="1"/>
  <c r="H32" i="30" s="1"/>
  <c r="H34" i="30" s="1"/>
  <c r="G34" i="30"/>
  <c r="F8" i="39"/>
  <c r="F13" i="39" s="1"/>
</calcChain>
</file>

<file path=xl/sharedStrings.xml><?xml version="1.0" encoding="utf-8"?>
<sst xmlns="http://schemas.openxmlformats.org/spreadsheetml/2006/main" count="766" uniqueCount="486">
  <si>
    <t>작 성 양 식</t>
    <phoneticPr fontId="2" type="noConversion"/>
  </si>
  <si>
    <t xml:space="preserve"> 1. 기초 재무상태 조사</t>
    <phoneticPr fontId="2" type="noConversion"/>
  </si>
  <si>
    <t xml:space="preserve"> 2. 중장기 영농목표</t>
    <phoneticPr fontId="2" type="noConversion"/>
  </si>
  <si>
    <t xml:space="preserve"> 3. 투자계획</t>
    <phoneticPr fontId="2" type="noConversion"/>
  </si>
  <si>
    <t xml:space="preserve"> 4. 원리금상환계획</t>
    <phoneticPr fontId="2" type="noConversion"/>
  </si>
  <si>
    <t xml:space="preserve"> 5. 판매계획</t>
    <phoneticPr fontId="2" type="noConversion"/>
  </si>
  <si>
    <t xml:space="preserve"> 6. 생산계획</t>
    <phoneticPr fontId="2" type="noConversion"/>
  </si>
  <si>
    <t xml:space="preserve"> 7. 영농자재소요계획</t>
    <phoneticPr fontId="2" type="noConversion"/>
  </si>
  <si>
    <t xml:space="preserve"> 8. 노무비계획</t>
    <phoneticPr fontId="2" type="noConversion"/>
  </si>
  <si>
    <t xml:space="preserve"> 9. 경비계획</t>
    <phoneticPr fontId="2" type="noConversion"/>
  </si>
  <si>
    <t>10. 감가상각비계획</t>
    <phoneticPr fontId="2" type="noConversion"/>
  </si>
  <si>
    <t>11. 생산원가계획</t>
    <phoneticPr fontId="2" type="noConversion"/>
  </si>
  <si>
    <t>12. 손익계획</t>
    <phoneticPr fontId="2" type="noConversion"/>
  </si>
  <si>
    <t>13. 추정대차대조표</t>
    <phoneticPr fontId="2" type="noConversion"/>
  </si>
  <si>
    <t>14. 현금흐름계획</t>
    <phoneticPr fontId="2" type="noConversion"/>
  </si>
  <si>
    <t>15. 추정소득분석</t>
    <phoneticPr fontId="2" type="noConversion"/>
  </si>
  <si>
    <t>1. 기초 재무상태 조사</t>
    <phoneticPr fontId="2" type="noConversion"/>
  </si>
  <si>
    <t>가. 자산</t>
    <phoneticPr fontId="2" type="noConversion"/>
  </si>
  <si>
    <t>(1) 토지</t>
    <phoneticPr fontId="2" type="noConversion"/>
  </si>
  <si>
    <t>종류</t>
    <phoneticPr fontId="2" type="noConversion"/>
  </si>
  <si>
    <t>주소(지번)</t>
    <phoneticPr fontId="2" type="noConversion"/>
  </si>
  <si>
    <t>면적(㎡)</t>
    <phoneticPr fontId="2" type="noConversion"/>
  </si>
  <si>
    <t>평가액(천원)</t>
    <phoneticPr fontId="2" type="noConversion"/>
  </si>
  <si>
    <t>구입년도</t>
    <phoneticPr fontId="2" type="noConversion"/>
  </si>
  <si>
    <t>비고</t>
    <phoneticPr fontId="2" type="noConversion"/>
  </si>
  <si>
    <t>(2) 건물및구축물</t>
    <phoneticPr fontId="2" type="noConversion"/>
  </si>
  <si>
    <t>구조</t>
    <phoneticPr fontId="2" type="noConversion"/>
  </si>
  <si>
    <t>규모(㎡)</t>
    <phoneticPr fontId="2" type="noConversion"/>
  </si>
  <si>
    <t>내용연수</t>
    <phoneticPr fontId="2" type="noConversion"/>
  </si>
  <si>
    <t>설치년도</t>
    <phoneticPr fontId="2" type="noConversion"/>
  </si>
  <si>
    <t>(3) 대식물</t>
    <phoneticPr fontId="2" type="noConversion"/>
  </si>
  <si>
    <t>품목</t>
    <phoneticPr fontId="2" type="noConversion"/>
  </si>
  <si>
    <t>품종</t>
    <phoneticPr fontId="2" type="noConversion"/>
  </si>
  <si>
    <t>주수</t>
    <phoneticPr fontId="2" type="noConversion"/>
  </si>
  <si>
    <t>경제수령</t>
    <phoneticPr fontId="2" type="noConversion"/>
  </si>
  <si>
    <t>식재년도</t>
    <phoneticPr fontId="2" type="noConversion"/>
  </si>
  <si>
    <t>(4) 대동물</t>
    <phoneticPr fontId="2" type="noConversion"/>
  </si>
  <si>
    <t>축종</t>
    <phoneticPr fontId="2" type="noConversion"/>
  </si>
  <si>
    <t>암수</t>
    <phoneticPr fontId="2" type="noConversion"/>
  </si>
  <si>
    <t>축령(월령)</t>
    <phoneticPr fontId="2" type="noConversion"/>
  </si>
  <si>
    <t>두수</t>
    <phoneticPr fontId="2" type="noConversion"/>
  </si>
  <si>
    <t>단가(천원)</t>
    <phoneticPr fontId="2" type="noConversion"/>
  </si>
  <si>
    <t>금액(천원)</t>
    <phoneticPr fontId="2" type="noConversion"/>
  </si>
  <si>
    <t>(5) 대농기계 및 차량운반구 등</t>
    <phoneticPr fontId="2" type="noConversion"/>
  </si>
  <si>
    <t>규격</t>
    <phoneticPr fontId="2" type="noConversion"/>
  </si>
  <si>
    <t>대수</t>
    <phoneticPr fontId="2" type="noConversion"/>
  </si>
  <si>
    <t>구입가격(천원)</t>
    <phoneticPr fontId="2" type="noConversion"/>
  </si>
  <si>
    <t>내용연수</t>
    <phoneticPr fontId="2" type="noConversion"/>
  </si>
  <si>
    <t>(6) 현금 및 준현금</t>
    <phoneticPr fontId="2" type="noConversion"/>
  </si>
  <si>
    <t>명칭</t>
    <phoneticPr fontId="2" type="noConversion"/>
  </si>
  <si>
    <t>현금</t>
    <phoneticPr fontId="2" type="noConversion"/>
  </si>
  <si>
    <t>예금</t>
    <phoneticPr fontId="2" type="noConversion"/>
  </si>
  <si>
    <t>합계</t>
    <phoneticPr fontId="2" type="noConversion"/>
  </si>
  <si>
    <t>(7) 재고생산자재</t>
    <phoneticPr fontId="2" type="noConversion"/>
  </si>
  <si>
    <t>품명/규격</t>
    <phoneticPr fontId="2" type="noConversion"/>
  </si>
  <si>
    <t>수량</t>
    <phoneticPr fontId="2" type="noConversion"/>
  </si>
  <si>
    <t>단가(천원)</t>
    <phoneticPr fontId="2" type="noConversion"/>
  </si>
  <si>
    <t>금액(천원)</t>
    <phoneticPr fontId="2" type="noConversion"/>
  </si>
  <si>
    <t>(8) 재고농산물</t>
    <phoneticPr fontId="2" type="noConversion"/>
  </si>
  <si>
    <t>품종 등</t>
    <phoneticPr fontId="2" type="noConversion"/>
  </si>
  <si>
    <t>평가액(천원)</t>
    <phoneticPr fontId="2" type="noConversion"/>
  </si>
  <si>
    <t>생산년도</t>
    <phoneticPr fontId="2" type="noConversion"/>
  </si>
  <si>
    <t>나. 부채</t>
    <phoneticPr fontId="2" type="noConversion"/>
  </si>
  <si>
    <t>용도</t>
    <phoneticPr fontId="2" type="noConversion"/>
  </si>
  <si>
    <t>자금종류</t>
    <phoneticPr fontId="2" type="noConversion"/>
  </si>
  <si>
    <t>융자금액(천원)</t>
    <phoneticPr fontId="2" type="noConversion"/>
  </si>
  <si>
    <t>융자년도</t>
    <phoneticPr fontId="2" type="noConversion"/>
  </si>
  <si>
    <t>원리금 상환조건</t>
    <phoneticPr fontId="2" type="noConversion"/>
  </si>
  <si>
    <t>2. 중장기 영농목표</t>
    <phoneticPr fontId="2" type="noConversion"/>
  </si>
  <si>
    <t>가. 작성기간 : 5개년 계획</t>
    <phoneticPr fontId="2" type="noConversion"/>
  </si>
  <si>
    <t>나. 매출액 및 순이익 목표</t>
    <phoneticPr fontId="2" type="noConversion"/>
  </si>
  <si>
    <t>(단위:천원)</t>
    <phoneticPr fontId="2" type="noConversion"/>
  </si>
  <si>
    <t>구 분</t>
    <phoneticPr fontId="2" type="noConversion"/>
  </si>
  <si>
    <t>비고</t>
    <phoneticPr fontId="2" type="noConversion"/>
  </si>
  <si>
    <t>매출액</t>
    <phoneticPr fontId="2" type="noConversion"/>
  </si>
  <si>
    <t>순이익</t>
    <phoneticPr fontId="2" type="noConversion"/>
  </si>
  <si>
    <t>순이익률(%)</t>
    <phoneticPr fontId="2" type="noConversion"/>
  </si>
  <si>
    <t>3. 투자계획</t>
    <phoneticPr fontId="2" type="noConversion"/>
  </si>
  <si>
    <t>가. 총괄 투자계획</t>
    <phoneticPr fontId="2" type="noConversion"/>
  </si>
  <si>
    <t>(단위:천원)</t>
    <phoneticPr fontId="2" type="noConversion"/>
  </si>
  <si>
    <t>투자연도</t>
    <phoneticPr fontId="2" type="noConversion"/>
  </si>
  <si>
    <t>소요액</t>
    <phoneticPr fontId="2" type="noConversion"/>
  </si>
  <si>
    <t>투자재원</t>
    <phoneticPr fontId="2" type="noConversion"/>
  </si>
  <si>
    <t>비고</t>
    <phoneticPr fontId="2" type="noConversion"/>
  </si>
  <si>
    <t>자부담</t>
    <phoneticPr fontId="2" type="noConversion"/>
  </si>
  <si>
    <t>보조</t>
    <phoneticPr fontId="2" type="noConversion"/>
  </si>
  <si>
    <t>융자</t>
    <phoneticPr fontId="2" type="noConversion"/>
  </si>
  <si>
    <t>합    계</t>
    <phoneticPr fontId="2" type="noConversion"/>
  </si>
  <si>
    <t>나. 연차별 세부투자계획</t>
    <phoneticPr fontId="2" type="noConversion"/>
  </si>
  <si>
    <t>(단위:천원)</t>
    <phoneticPr fontId="2" type="noConversion"/>
  </si>
  <si>
    <t>연도별</t>
    <phoneticPr fontId="2" type="noConversion"/>
  </si>
  <si>
    <t>투자대상</t>
    <phoneticPr fontId="2" type="noConversion"/>
  </si>
  <si>
    <t>투자금액(천원)</t>
    <phoneticPr fontId="2" type="noConversion"/>
  </si>
  <si>
    <t>비   고</t>
    <phoneticPr fontId="2" type="noConversion"/>
  </si>
  <si>
    <t>투자항목</t>
    <phoneticPr fontId="2" type="noConversion"/>
  </si>
  <si>
    <t>규격</t>
    <phoneticPr fontId="2" type="noConversion"/>
  </si>
  <si>
    <t>계</t>
    <phoneticPr fontId="2" type="noConversion"/>
  </si>
  <si>
    <t>자부담</t>
    <phoneticPr fontId="2" type="noConversion"/>
  </si>
  <si>
    <t>보조</t>
    <phoneticPr fontId="2" type="noConversion"/>
  </si>
  <si>
    <t>4. 원리금 상환계획</t>
    <phoneticPr fontId="2" type="noConversion"/>
  </si>
  <si>
    <t xml:space="preserve">   가. 상환계획 종합</t>
    <phoneticPr fontId="2" type="noConversion"/>
  </si>
  <si>
    <t>(단위 : 천원)</t>
    <phoneticPr fontId="2" type="noConversion"/>
  </si>
  <si>
    <t>연도</t>
    <phoneticPr fontId="2" type="noConversion"/>
  </si>
  <si>
    <t>융자금액</t>
    <phoneticPr fontId="2" type="noConversion"/>
  </si>
  <si>
    <t>원리금 상환액</t>
    <phoneticPr fontId="2" type="noConversion"/>
  </si>
  <si>
    <t>연말융자잔액</t>
    <phoneticPr fontId="2" type="noConversion"/>
  </si>
  <si>
    <t>비고</t>
    <phoneticPr fontId="2" type="noConversion"/>
  </si>
  <si>
    <t>원금상환</t>
    <phoneticPr fontId="2" type="noConversion"/>
  </si>
  <si>
    <t>이자</t>
    <phoneticPr fontId="2" type="noConversion"/>
  </si>
  <si>
    <t xml:space="preserve">  나. 융자 종류별 원리금 상환계획</t>
    <phoneticPr fontId="2" type="noConversion"/>
  </si>
  <si>
    <t>(단위 : 천원)</t>
    <phoneticPr fontId="2" type="noConversion"/>
  </si>
  <si>
    <t>종류</t>
    <phoneticPr fontId="2" type="noConversion"/>
  </si>
  <si>
    <t>융자시기</t>
    <phoneticPr fontId="2" type="noConversion"/>
  </si>
  <si>
    <t>융자액</t>
    <phoneticPr fontId="2" type="noConversion"/>
  </si>
  <si>
    <t>융자조건</t>
    <phoneticPr fontId="2" type="noConversion"/>
  </si>
  <si>
    <t>연이자율</t>
    <phoneticPr fontId="2" type="noConversion"/>
  </si>
  <si>
    <t>균등분할상환액</t>
    <phoneticPr fontId="2" type="noConversion"/>
  </si>
  <si>
    <t>PMT함수 = (이자율,상환기간, 현재가치(대출금액),미래가치(잔액 0), 타입(후불제(0) 원리금상환인경우),</t>
  </si>
  <si>
    <t>연차</t>
    <phoneticPr fontId="2" type="noConversion"/>
  </si>
  <si>
    <t>연초융자잔액</t>
    <phoneticPr fontId="2" type="noConversion"/>
  </si>
  <si>
    <t>상환원리금</t>
    <phoneticPr fontId="2" type="noConversion"/>
  </si>
  <si>
    <t>이자</t>
    <phoneticPr fontId="2" type="noConversion"/>
  </si>
  <si>
    <t>원금상환</t>
    <phoneticPr fontId="2" type="noConversion"/>
  </si>
  <si>
    <t>계</t>
    <phoneticPr fontId="2" type="noConversion"/>
  </si>
  <si>
    <t>5. 판매계획</t>
    <phoneticPr fontId="2" type="noConversion"/>
  </si>
  <si>
    <t>가. 연도별 가격 추이</t>
    <phoneticPr fontId="2" type="noConversion"/>
  </si>
  <si>
    <t>(단위 : 원/kg)</t>
    <phoneticPr fontId="2" type="noConversion"/>
  </si>
  <si>
    <t>연도별</t>
    <phoneticPr fontId="2" type="noConversion"/>
  </si>
  <si>
    <t>등급</t>
    <phoneticPr fontId="2" type="noConversion"/>
  </si>
  <si>
    <t>평균가격</t>
    <phoneticPr fontId="2" type="noConversion"/>
  </si>
  <si>
    <t>평균가격(수매)</t>
    <phoneticPr fontId="2" type="noConversion"/>
  </si>
  <si>
    <t>상 품</t>
    <phoneticPr fontId="2" type="noConversion"/>
  </si>
  <si>
    <t>중 품</t>
    <phoneticPr fontId="2" type="noConversion"/>
  </si>
  <si>
    <t>하 품</t>
    <phoneticPr fontId="2" type="noConversion"/>
  </si>
  <si>
    <t>등급</t>
    <phoneticPr fontId="2" type="noConversion"/>
  </si>
  <si>
    <t>평균가격</t>
    <phoneticPr fontId="2" type="noConversion"/>
  </si>
  <si>
    <t>평균가격(직거래)</t>
    <phoneticPr fontId="2" type="noConversion"/>
  </si>
  <si>
    <t>나. 유통채널별 판매계획</t>
    <phoneticPr fontId="2" type="noConversion"/>
  </si>
  <si>
    <t>(단위 : %, kg)</t>
    <phoneticPr fontId="2" type="noConversion"/>
  </si>
  <si>
    <t>유통채널</t>
    <phoneticPr fontId="2" type="noConversion"/>
  </si>
  <si>
    <t>비고</t>
    <phoneticPr fontId="2" type="noConversion"/>
  </si>
  <si>
    <t>판매비율</t>
    <phoneticPr fontId="2" type="noConversion"/>
  </si>
  <si>
    <t>판매량</t>
    <phoneticPr fontId="2" type="noConversion"/>
  </si>
  <si>
    <t>수매시장</t>
    <phoneticPr fontId="2" type="noConversion"/>
  </si>
  <si>
    <t>상품</t>
    <phoneticPr fontId="2" type="noConversion"/>
  </si>
  <si>
    <t>중품</t>
    <phoneticPr fontId="2" type="noConversion"/>
  </si>
  <si>
    <t>하품</t>
    <phoneticPr fontId="2" type="noConversion"/>
  </si>
  <si>
    <t>직거래</t>
    <phoneticPr fontId="2" type="noConversion"/>
  </si>
  <si>
    <t>상품</t>
    <phoneticPr fontId="2" type="noConversion"/>
  </si>
  <si>
    <t>미상품과</t>
    <phoneticPr fontId="2" type="noConversion"/>
  </si>
  <si>
    <t>합     계</t>
    <phoneticPr fontId="2" type="noConversion"/>
  </si>
  <si>
    <t>다. 연도별 매출액 추정</t>
    <phoneticPr fontId="2" type="noConversion"/>
  </si>
  <si>
    <t>(단위 : 천원, Kg)</t>
    <phoneticPr fontId="2" type="noConversion"/>
  </si>
  <si>
    <t>수매(상품)</t>
    <phoneticPr fontId="2" type="noConversion"/>
  </si>
  <si>
    <t>수매(중품)</t>
    <phoneticPr fontId="2" type="noConversion"/>
  </si>
  <si>
    <t>수매(하품)</t>
    <phoneticPr fontId="2" type="noConversion"/>
  </si>
  <si>
    <t>직거래(상품)</t>
    <phoneticPr fontId="2" type="noConversion"/>
  </si>
  <si>
    <t>직거래(중품)</t>
    <phoneticPr fontId="2" type="noConversion"/>
  </si>
  <si>
    <t>직거래(하품)</t>
    <phoneticPr fontId="2" type="noConversion"/>
  </si>
  <si>
    <t>판매금액</t>
  </si>
  <si>
    <t>6. 생산계획</t>
    <phoneticPr fontId="2" type="noConversion"/>
  </si>
  <si>
    <t>가. 생산량계획</t>
    <phoneticPr fontId="2" type="noConversion"/>
  </si>
  <si>
    <t>구     분</t>
    <phoneticPr fontId="2" type="noConversion"/>
  </si>
  <si>
    <t>비고</t>
    <phoneticPr fontId="2" type="noConversion"/>
  </si>
  <si>
    <t>10a당 생산량(kg)</t>
    <phoneticPr fontId="2" type="noConversion"/>
  </si>
  <si>
    <r>
      <t>재배면적(</t>
    </r>
    <r>
      <rPr>
        <b/>
        <sz val="11"/>
        <rFont val="맑은 고딕"/>
        <family val="3"/>
        <charset val="129"/>
      </rPr>
      <t>㎡</t>
    </r>
    <r>
      <rPr>
        <b/>
        <sz val="11"/>
        <rFont val="굴림"/>
        <family val="3"/>
        <charset val="129"/>
      </rPr>
      <t>)</t>
    </r>
    <phoneticPr fontId="2" type="noConversion"/>
  </si>
  <si>
    <t>생산량(kg)</t>
    <phoneticPr fontId="2" type="noConversion"/>
  </si>
  <si>
    <t>나. 생산량 산출근거</t>
    <phoneticPr fontId="2" type="noConversion"/>
  </si>
  <si>
    <t>항목</t>
    <phoneticPr fontId="2" type="noConversion"/>
  </si>
  <si>
    <t>세부사항</t>
    <phoneticPr fontId="2" type="noConversion"/>
  </si>
  <si>
    <t>재배면적</t>
    <phoneticPr fontId="2" type="noConversion"/>
  </si>
  <si>
    <t>묘목수</t>
    <phoneticPr fontId="2" type="noConversion"/>
  </si>
  <si>
    <t>생산량</t>
    <phoneticPr fontId="2" type="noConversion"/>
  </si>
  <si>
    <t>시설(1년차)</t>
    <phoneticPr fontId="2" type="noConversion"/>
  </si>
  <si>
    <t>시설(2년차 이후)</t>
    <phoneticPr fontId="2" type="noConversion"/>
  </si>
  <si>
    <t>생산증가율</t>
    <phoneticPr fontId="2" type="noConversion"/>
  </si>
  <si>
    <t>상품화율</t>
    <phoneticPr fontId="2" type="noConversion"/>
  </si>
  <si>
    <t>합계</t>
    <phoneticPr fontId="2" type="noConversion"/>
  </si>
  <si>
    <t>묘목수(1년차)</t>
    <phoneticPr fontId="2" type="noConversion"/>
  </si>
  <si>
    <t>생산량(1년차)</t>
    <phoneticPr fontId="2" type="noConversion"/>
  </si>
  <si>
    <t>묘목수(2년차 이후)</t>
    <phoneticPr fontId="2" type="noConversion"/>
  </si>
  <si>
    <t>생산량(2년차 이후)</t>
    <phoneticPr fontId="2" type="noConversion"/>
  </si>
  <si>
    <t>7. 영농자재 소요계획</t>
    <phoneticPr fontId="2" type="noConversion"/>
  </si>
  <si>
    <t>적용기준</t>
    <phoneticPr fontId="2" type="noConversion"/>
  </si>
  <si>
    <t>묘목비(원/10a)</t>
    <phoneticPr fontId="2" type="noConversion"/>
  </si>
  <si>
    <t>무기질비료비(원/10a)</t>
    <phoneticPr fontId="2" type="noConversion"/>
  </si>
  <si>
    <t>유기질비료비(원/10a)</t>
    <phoneticPr fontId="2" type="noConversion"/>
  </si>
  <si>
    <t>작물보호제비(원/10a)</t>
    <phoneticPr fontId="2" type="noConversion"/>
  </si>
  <si>
    <t>산출근거</t>
    <phoneticPr fontId="2" type="noConversion"/>
  </si>
  <si>
    <t>지역별 농산물 소득자료</t>
    <phoneticPr fontId="2" type="noConversion"/>
  </si>
  <si>
    <t>자료조사를 통한   적정 시비량 계산</t>
    <phoneticPr fontId="2" type="noConversion"/>
  </si>
  <si>
    <t>참고자료</t>
    <phoneticPr fontId="2" type="noConversion"/>
  </si>
  <si>
    <t>* 작물보호제비는 농사로 병해충방제정보 PLS 허용품목에 한하여 가격조사</t>
    <phoneticPr fontId="2" type="noConversion"/>
  </si>
  <si>
    <t>가. 1년차</t>
    <phoneticPr fontId="2" type="noConversion"/>
  </si>
  <si>
    <t>비  목</t>
    <phoneticPr fontId="2" type="noConversion"/>
  </si>
  <si>
    <t>비용/10a</t>
    <phoneticPr fontId="2" type="noConversion"/>
  </si>
  <si>
    <t>재배면적(㎡)</t>
    <phoneticPr fontId="2" type="noConversion"/>
  </si>
  <si>
    <t>산출기준</t>
    <phoneticPr fontId="2" type="noConversion"/>
  </si>
  <si>
    <t>금  액(천원)</t>
    <phoneticPr fontId="2" type="noConversion"/>
  </si>
  <si>
    <t>종자비</t>
    <phoneticPr fontId="2" type="noConversion"/>
  </si>
  <si>
    <t>무기질비료비</t>
    <phoneticPr fontId="2" type="noConversion"/>
  </si>
  <si>
    <t>유기질비료비</t>
    <phoneticPr fontId="2" type="noConversion"/>
  </si>
  <si>
    <t>작물보호제비</t>
    <phoneticPr fontId="2" type="noConversion"/>
  </si>
  <si>
    <t>기타재료비</t>
    <phoneticPr fontId="2" type="noConversion"/>
  </si>
  <si>
    <t>합계</t>
    <phoneticPr fontId="2" type="noConversion"/>
  </si>
  <si>
    <t>나. 2년차</t>
    <phoneticPr fontId="2" type="noConversion"/>
  </si>
  <si>
    <t>비  목</t>
    <phoneticPr fontId="2" type="noConversion"/>
  </si>
  <si>
    <t>작물보호제비</t>
    <phoneticPr fontId="2" type="noConversion"/>
  </si>
  <si>
    <t>다. 3년차</t>
    <phoneticPr fontId="2" type="noConversion"/>
  </si>
  <si>
    <t>라. 4년차</t>
    <phoneticPr fontId="2" type="noConversion"/>
  </si>
  <si>
    <t>마. 5년차</t>
    <phoneticPr fontId="2" type="noConversion"/>
  </si>
  <si>
    <t>비  목</t>
    <phoneticPr fontId="2" type="noConversion"/>
  </si>
  <si>
    <t>8. 노무비계획</t>
    <phoneticPr fontId="2" type="noConversion"/>
  </si>
  <si>
    <t>가. 노동력 소요 및 노무비 계획</t>
    <phoneticPr fontId="2" type="noConversion"/>
  </si>
  <si>
    <t>(단위:일수,천원)</t>
    <phoneticPr fontId="2" type="noConversion"/>
  </si>
  <si>
    <t>구 분</t>
  </si>
  <si>
    <t>비     고</t>
    <phoneticPr fontId="2" type="noConversion"/>
  </si>
  <si>
    <t>일당(원)</t>
    <phoneticPr fontId="2" type="noConversion"/>
  </si>
  <si>
    <t>작업 일수</t>
    <phoneticPr fontId="2" type="noConversion"/>
  </si>
  <si>
    <t>금액</t>
    <phoneticPr fontId="2" type="noConversion"/>
  </si>
  <si>
    <t>작업 일수</t>
    <phoneticPr fontId="2" type="noConversion"/>
  </si>
  <si>
    <t>자가 노동비</t>
    <phoneticPr fontId="2" type="noConversion"/>
  </si>
  <si>
    <t>본인</t>
    <phoneticPr fontId="2" type="noConversion"/>
  </si>
  <si>
    <t>가족</t>
    <phoneticPr fontId="2" type="noConversion"/>
  </si>
  <si>
    <t>소계</t>
    <phoneticPr fontId="2" type="noConversion"/>
  </si>
  <si>
    <t>고용 노동비</t>
    <phoneticPr fontId="2" type="noConversion"/>
  </si>
  <si>
    <t>일용직</t>
  </si>
  <si>
    <t>잡급</t>
    <phoneticPr fontId="2" type="noConversion"/>
  </si>
  <si>
    <t>남</t>
    <phoneticPr fontId="2" type="noConversion"/>
  </si>
  <si>
    <t>여</t>
    <phoneticPr fontId="2" type="noConversion"/>
  </si>
  <si>
    <t>상용직</t>
  </si>
  <si>
    <t>급여</t>
  </si>
  <si>
    <t>상여금</t>
  </si>
  <si>
    <t>퇴직   급여</t>
    <phoneticPr fontId="2" type="noConversion"/>
  </si>
  <si>
    <t>나. 노동비 산출근거(1년차)</t>
    <phoneticPr fontId="2" type="noConversion"/>
  </si>
  <si>
    <t>항목</t>
    <phoneticPr fontId="2" type="noConversion"/>
  </si>
  <si>
    <t>작업일수</t>
    <phoneticPr fontId="2" type="noConversion"/>
  </si>
  <si>
    <t>고용(남자, 단가 동일)</t>
    <phoneticPr fontId="2" type="noConversion"/>
  </si>
  <si>
    <t>고용(여자)</t>
    <phoneticPr fontId="2" type="noConversion"/>
  </si>
  <si>
    <t>인건비 평균 상승률(5년평균)</t>
  </si>
  <si>
    <t>일수</t>
    <phoneticPr fontId="2" type="noConversion"/>
  </si>
  <si>
    <t>단가</t>
    <phoneticPr fontId="2" type="noConversion"/>
  </si>
  <si>
    <t>계(천원)</t>
    <phoneticPr fontId="2" type="noConversion"/>
  </si>
  <si>
    <t>일수</t>
    <phoneticPr fontId="2" type="noConversion"/>
  </si>
  <si>
    <t>계(천원)</t>
  </si>
  <si>
    <t>단가</t>
    <phoneticPr fontId="2" type="noConversion"/>
  </si>
  <si>
    <t>계(천원)</t>
    <phoneticPr fontId="2" type="noConversion"/>
  </si>
  <si>
    <t>남자</t>
  </si>
  <si>
    <t>여자</t>
  </si>
  <si>
    <t>인상율</t>
  </si>
  <si>
    <t>경운</t>
    <phoneticPr fontId="2" type="noConversion"/>
  </si>
  <si>
    <t>자료집</t>
  </si>
  <si>
    <t>파종</t>
    <phoneticPr fontId="2" type="noConversion"/>
  </si>
  <si>
    <t>정식</t>
    <phoneticPr fontId="2" type="noConversion"/>
  </si>
  <si>
    <t>웃거름주기 및 작물보호제 살포</t>
    <phoneticPr fontId="2" type="noConversion"/>
  </si>
  <si>
    <t>제초작업 및 유지 관리</t>
    <phoneticPr fontId="2" type="noConversion"/>
  </si>
  <si>
    <t>예측치</t>
  </si>
  <si>
    <t>수확 및 선별</t>
    <phoneticPr fontId="2" type="noConversion"/>
  </si>
  <si>
    <t>합계</t>
    <phoneticPr fontId="2" type="noConversion"/>
  </si>
  <si>
    <t>다. 노동비 산출근거(2년차 이후, 임금은 매년 상승)</t>
    <phoneticPr fontId="2" type="noConversion"/>
  </si>
  <si>
    <t>자가 노동비</t>
    <phoneticPr fontId="2" type="noConversion"/>
  </si>
  <si>
    <t>평균</t>
  </si>
  <si>
    <t>9. 경비계획</t>
    <phoneticPr fontId="2" type="noConversion"/>
  </si>
  <si>
    <t>항목</t>
  </si>
  <si>
    <t>기준</t>
  </si>
  <si>
    <t>비고</t>
  </si>
  <si>
    <t>대농기구 수선비</t>
  </si>
  <si>
    <t>영농시설 수선비</t>
  </si>
  <si>
    <t>수도광열비 (천원/10a)</t>
    <phoneticPr fontId="2" type="noConversion"/>
  </si>
  <si>
    <r>
      <t>경영면적(m</t>
    </r>
    <r>
      <rPr>
        <vertAlign val="superscript"/>
        <sz val="11"/>
        <color rgb="FF000000"/>
        <rFont val="굴림"/>
        <family val="3"/>
        <charset val="129"/>
      </rPr>
      <t>2</t>
    </r>
    <r>
      <rPr>
        <sz val="11"/>
        <color rgb="FF000000"/>
        <rFont val="굴림"/>
        <family val="3"/>
        <charset val="129"/>
      </rPr>
      <t>) &gt; 1년차</t>
    </r>
    <phoneticPr fontId="2" type="noConversion"/>
  </si>
  <si>
    <r>
      <t>경영면적(m</t>
    </r>
    <r>
      <rPr>
        <vertAlign val="superscript"/>
        <sz val="11"/>
        <color rgb="FF000000"/>
        <rFont val="굴림"/>
        <family val="3"/>
        <charset val="129"/>
      </rPr>
      <t>2</t>
    </r>
    <r>
      <rPr>
        <sz val="11"/>
        <color rgb="FF000000"/>
        <rFont val="굴림"/>
        <family val="3"/>
        <charset val="129"/>
      </rPr>
      <t>) &gt; 2년차 이후</t>
    </r>
    <phoneticPr fontId="2" type="noConversion"/>
  </si>
  <si>
    <r>
      <t>임대면적(m</t>
    </r>
    <r>
      <rPr>
        <vertAlign val="superscript"/>
        <sz val="11"/>
        <color rgb="FF000000"/>
        <rFont val="굴림"/>
        <family val="3"/>
        <charset val="129"/>
      </rPr>
      <t>2</t>
    </r>
    <r>
      <rPr>
        <sz val="11"/>
        <color rgb="FF000000"/>
        <rFont val="굴림"/>
        <family val="3"/>
        <charset val="129"/>
      </rPr>
      <t>)</t>
    </r>
    <phoneticPr fontId="2" type="noConversion"/>
  </si>
  <si>
    <t>(단위 : 천원)</t>
    <phoneticPr fontId="2" type="noConversion"/>
  </si>
  <si>
    <t>과     목</t>
    <phoneticPr fontId="2" type="noConversion"/>
  </si>
  <si>
    <t>금  액</t>
    <phoneticPr fontId="2" type="noConversion"/>
  </si>
  <si>
    <t>산   출   근   거</t>
    <phoneticPr fontId="2" type="noConversion"/>
  </si>
  <si>
    <t>비고</t>
    <phoneticPr fontId="2" type="noConversion"/>
  </si>
  <si>
    <t>1. 수선비</t>
    <phoneticPr fontId="2" type="noConversion"/>
  </si>
  <si>
    <t xml:space="preserve">  가. 영농시설</t>
    <phoneticPr fontId="2" type="noConversion"/>
  </si>
  <si>
    <t xml:space="preserve">  나. 대농기구</t>
    <phoneticPr fontId="2" type="noConversion"/>
  </si>
  <si>
    <t>2. 수도 광열비</t>
    <phoneticPr fontId="2" type="noConversion"/>
  </si>
  <si>
    <t>3. 감가상각비</t>
    <phoneticPr fontId="2" type="noConversion"/>
  </si>
  <si>
    <t>* 감가상각비계획 참조</t>
    <phoneticPr fontId="2" type="noConversion"/>
  </si>
  <si>
    <t xml:space="preserve">  가. 영농시설</t>
    <phoneticPr fontId="2" type="noConversion"/>
  </si>
  <si>
    <t xml:space="preserve">  나. 대농기구</t>
    <phoneticPr fontId="2" type="noConversion"/>
  </si>
  <si>
    <t xml:space="preserve">  다. 생물자산</t>
    <phoneticPr fontId="2" type="noConversion"/>
  </si>
  <si>
    <t>4. 임차료</t>
    <phoneticPr fontId="2" type="noConversion"/>
  </si>
  <si>
    <t xml:space="preserve">  가. 대농기구</t>
    <phoneticPr fontId="2" type="noConversion"/>
  </si>
  <si>
    <t>* 연간 농기계 임차료(개인)</t>
    <phoneticPr fontId="2" type="noConversion"/>
  </si>
  <si>
    <t xml:space="preserve">  나. 토지</t>
    <phoneticPr fontId="2" type="noConversion"/>
  </si>
  <si>
    <t>5. 위탁영농비</t>
    <phoneticPr fontId="2" type="noConversion"/>
  </si>
  <si>
    <t>6. 소농구비</t>
    <phoneticPr fontId="2" type="noConversion"/>
  </si>
  <si>
    <t>7. 기타 요금</t>
    <phoneticPr fontId="2" type="noConversion"/>
  </si>
  <si>
    <t>합    계</t>
    <phoneticPr fontId="2" type="noConversion"/>
  </si>
  <si>
    <t xml:space="preserve">  다. 생물자산</t>
  </si>
  <si>
    <t>(단위 : 천원)</t>
    <phoneticPr fontId="2" type="noConversion"/>
  </si>
  <si>
    <t xml:space="preserve">10. 감가상각비계획 </t>
    <phoneticPr fontId="2" type="noConversion"/>
  </si>
  <si>
    <t>(단위 : 천원)</t>
    <phoneticPr fontId="2" type="noConversion"/>
  </si>
  <si>
    <t>구       분</t>
    <phoneticPr fontId="2" type="noConversion"/>
  </si>
  <si>
    <t>영농시설</t>
    <phoneticPr fontId="2" type="noConversion"/>
  </si>
  <si>
    <t>대농기구</t>
    <phoneticPr fontId="2" type="noConversion"/>
  </si>
  <si>
    <t>생물 자산</t>
    <phoneticPr fontId="2" type="noConversion"/>
  </si>
  <si>
    <t>계</t>
    <phoneticPr fontId="2" type="noConversion"/>
  </si>
  <si>
    <t>계</t>
  </si>
  <si>
    <t>취  득  가  격</t>
    <phoneticPr fontId="2" type="noConversion"/>
  </si>
  <si>
    <t>잔 존 가 격 율</t>
    <phoneticPr fontId="2" type="noConversion"/>
  </si>
  <si>
    <t>내 용 년 수(년)</t>
    <phoneticPr fontId="2" type="noConversion"/>
  </si>
  <si>
    <t>사 용 년 수(년)</t>
    <phoneticPr fontId="2" type="noConversion"/>
  </si>
  <si>
    <t>감 가 상 각 비</t>
    <phoneticPr fontId="2" type="noConversion"/>
  </si>
  <si>
    <t>감 가 상 각 누 계</t>
    <phoneticPr fontId="2" type="noConversion"/>
  </si>
  <si>
    <t>장  부  가  격</t>
    <phoneticPr fontId="2" type="noConversion"/>
  </si>
  <si>
    <t>(단위 : 천원)</t>
  </si>
  <si>
    <t>구       분</t>
    <phoneticPr fontId="2" type="noConversion"/>
  </si>
  <si>
    <t>계</t>
    <phoneticPr fontId="2" type="noConversion"/>
  </si>
  <si>
    <t>취  득  가  격</t>
    <phoneticPr fontId="2" type="noConversion"/>
  </si>
  <si>
    <t>잔 존 가 격 율</t>
    <phoneticPr fontId="2" type="noConversion"/>
  </si>
  <si>
    <t>계</t>
    <phoneticPr fontId="2" type="noConversion"/>
  </si>
  <si>
    <t>잔 존 가 격 율</t>
    <phoneticPr fontId="2" type="noConversion"/>
  </si>
  <si>
    <t>계</t>
    <phoneticPr fontId="2" type="noConversion"/>
  </si>
  <si>
    <t>사 용 년 수(년)</t>
    <phoneticPr fontId="2" type="noConversion"/>
  </si>
  <si>
    <t>감 가 상 각 비</t>
    <phoneticPr fontId="2" type="noConversion"/>
  </si>
  <si>
    <t>감 가 상 각 누 계</t>
    <phoneticPr fontId="2" type="noConversion"/>
  </si>
  <si>
    <t>장  부  가  격</t>
    <phoneticPr fontId="2" type="noConversion"/>
  </si>
  <si>
    <t>과       목</t>
  </si>
  <si>
    <t>I. 재료비</t>
    <phoneticPr fontId="2" type="noConversion"/>
  </si>
  <si>
    <t xml:space="preserve"> 1. 종자비</t>
    <phoneticPr fontId="2" type="noConversion"/>
  </si>
  <si>
    <t xml:space="preserve"> 2. 무기질비료비</t>
    <phoneticPr fontId="2" type="noConversion"/>
  </si>
  <si>
    <t xml:space="preserve"> 3. 유기질비료비</t>
    <phoneticPr fontId="2" type="noConversion"/>
  </si>
  <si>
    <t xml:space="preserve"> 4. 작물보호제비</t>
    <phoneticPr fontId="2" type="noConversion"/>
  </si>
  <si>
    <t xml:space="preserve"> 5. 기타재료비</t>
    <phoneticPr fontId="2" type="noConversion"/>
  </si>
  <si>
    <t>II. 노무비</t>
  </si>
  <si>
    <t xml:space="preserve"> 1. 급여</t>
    <phoneticPr fontId="2" type="noConversion"/>
  </si>
  <si>
    <t xml:space="preserve"> 2. 상여금</t>
    <phoneticPr fontId="2" type="noConversion"/>
  </si>
  <si>
    <t xml:space="preserve"> 3. 퇴직급여</t>
    <phoneticPr fontId="2" type="noConversion"/>
  </si>
  <si>
    <t xml:space="preserve"> 4. 잡급</t>
    <phoneticPr fontId="2" type="noConversion"/>
  </si>
  <si>
    <t>III. 경비</t>
  </si>
  <si>
    <t xml:space="preserve"> 1. 수선비</t>
    <phoneticPr fontId="2" type="noConversion"/>
  </si>
  <si>
    <t xml:space="preserve">   가. 영농시설</t>
    <phoneticPr fontId="2" type="noConversion"/>
  </si>
  <si>
    <t xml:space="preserve">   나. 대농기구</t>
    <phoneticPr fontId="2" type="noConversion"/>
  </si>
  <si>
    <t xml:space="preserve"> 2. 수도광열비</t>
    <phoneticPr fontId="2" type="noConversion"/>
  </si>
  <si>
    <t xml:space="preserve"> 3. 감가상각비</t>
    <phoneticPr fontId="2" type="noConversion"/>
  </si>
  <si>
    <t xml:space="preserve">   가. 영농시설</t>
    <phoneticPr fontId="2" type="noConversion"/>
  </si>
  <si>
    <t xml:space="preserve">   나. 대농기구</t>
    <phoneticPr fontId="2" type="noConversion"/>
  </si>
  <si>
    <t xml:space="preserve">   다. 생물 자산</t>
    <phoneticPr fontId="2" type="noConversion"/>
  </si>
  <si>
    <t xml:space="preserve"> 4. 임차료</t>
    <phoneticPr fontId="2" type="noConversion"/>
  </si>
  <si>
    <t xml:space="preserve">   가. 대농기구</t>
    <phoneticPr fontId="2" type="noConversion"/>
  </si>
  <si>
    <t xml:space="preserve">   나. 토지</t>
    <phoneticPr fontId="2" type="noConversion"/>
  </si>
  <si>
    <t xml:space="preserve"> 5. 위탁영농비</t>
    <phoneticPr fontId="2" type="noConversion"/>
  </si>
  <si>
    <t xml:space="preserve"> 6. 소농구비</t>
    <phoneticPr fontId="2" type="noConversion"/>
  </si>
  <si>
    <t xml:space="preserve"> 7. 기타 요금</t>
    <phoneticPr fontId="2" type="noConversion"/>
  </si>
  <si>
    <t>IV. 당기총생산원가</t>
    <phoneticPr fontId="2" type="noConversion"/>
  </si>
  <si>
    <r>
      <rPr>
        <b/>
        <sz val="10"/>
        <rFont val="맑은 고딕"/>
        <family val="3"/>
        <charset val="129"/>
      </rPr>
      <t>Ⅴ</t>
    </r>
    <r>
      <rPr>
        <b/>
        <sz val="10"/>
        <rFont val="굴림"/>
        <family val="3"/>
        <charset val="129"/>
      </rPr>
      <t>. 기초생장물재고액</t>
    </r>
    <phoneticPr fontId="2" type="noConversion"/>
  </si>
  <si>
    <r>
      <rPr>
        <b/>
        <sz val="10"/>
        <rFont val="맑은 고딕"/>
        <family val="3"/>
        <charset val="129"/>
      </rPr>
      <t>Ⅵ</t>
    </r>
    <r>
      <rPr>
        <b/>
        <sz val="10"/>
        <rFont val="굴림"/>
        <family val="3"/>
        <charset val="129"/>
      </rPr>
      <t>. 기말생장물재고액</t>
    </r>
    <phoneticPr fontId="2" type="noConversion"/>
  </si>
  <si>
    <r>
      <rPr>
        <b/>
        <sz val="10"/>
        <rFont val="맑은 고딕"/>
        <family val="3"/>
        <charset val="129"/>
      </rPr>
      <t>Ⅶ</t>
    </r>
    <r>
      <rPr>
        <b/>
        <sz val="10"/>
        <rFont val="굴림"/>
        <family val="3"/>
        <charset val="129"/>
      </rPr>
      <t>. 타계정대체액</t>
    </r>
    <phoneticPr fontId="2" type="noConversion"/>
  </si>
  <si>
    <r>
      <rPr>
        <b/>
        <sz val="10"/>
        <rFont val="맑은 고딕"/>
        <family val="3"/>
        <charset val="129"/>
      </rPr>
      <t>Ⅷ</t>
    </r>
    <r>
      <rPr>
        <b/>
        <sz val="10"/>
        <rFont val="굴림"/>
        <family val="3"/>
        <charset val="129"/>
      </rPr>
      <t>. 당기생산물생산원가</t>
    </r>
    <phoneticPr fontId="2" type="noConversion"/>
  </si>
  <si>
    <t>12. 손익계획</t>
    <phoneticPr fontId="2" type="noConversion"/>
  </si>
  <si>
    <t>(단위:천원)</t>
    <phoneticPr fontId="2" type="noConversion"/>
  </si>
  <si>
    <t>과목</t>
    <phoneticPr fontId="2" type="noConversion"/>
  </si>
  <si>
    <t>1월1일~12월31일</t>
    <phoneticPr fontId="2" type="noConversion"/>
  </si>
  <si>
    <t>I. 매출액</t>
    <phoneticPr fontId="2" type="noConversion"/>
  </si>
  <si>
    <t xml:space="preserve"> 1. 생산물 매출</t>
    <phoneticPr fontId="2" type="noConversion"/>
  </si>
  <si>
    <t xml:space="preserve"> 2. 부산물 매출</t>
    <phoneticPr fontId="2" type="noConversion"/>
  </si>
  <si>
    <t>II. 매출원가</t>
    <phoneticPr fontId="2" type="noConversion"/>
  </si>
  <si>
    <t>III. 매출총이익</t>
    <phoneticPr fontId="2" type="noConversion"/>
  </si>
  <si>
    <t>IV. 판매비와 관리비</t>
    <phoneticPr fontId="2" type="noConversion"/>
  </si>
  <si>
    <t xml:space="preserve"> 1. 포장비</t>
    <phoneticPr fontId="2" type="noConversion"/>
  </si>
  <si>
    <t xml:space="preserve"> 2. 운반비</t>
    <phoneticPr fontId="2" type="noConversion"/>
  </si>
  <si>
    <t xml:space="preserve"> 3. 기타</t>
    <phoneticPr fontId="2" type="noConversion"/>
  </si>
  <si>
    <t>V. 영업이익</t>
    <phoneticPr fontId="2" type="noConversion"/>
  </si>
  <si>
    <t>VI. 영업외 수익</t>
    <phoneticPr fontId="2" type="noConversion"/>
  </si>
  <si>
    <t xml:space="preserve"> 1. 토지/농기계임대료</t>
    <phoneticPr fontId="2" type="noConversion"/>
  </si>
  <si>
    <t xml:space="preserve"> 2. 보조금</t>
    <phoneticPr fontId="2" type="noConversion"/>
  </si>
  <si>
    <t xml:space="preserve"> 3. 배당금</t>
    <phoneticPr fontId="2" type="noConversion"/>
  </si>
  <si>
    <t>VII. 영업외 비용</t>
    <phoneticPr fontId="2" type="noConversion"/>
  </si>
  <si>
    <t xml:space="preserve"> 1. 이자비용</t>
    <phoneticPr fontId="2" type="noConversion"/>
  </si>
  <si>
    <t xml:space="preserve"> 2. 기타</t>
    <phoneticPr fontId="2" type="noConversion"/>
  </si>
  <si>
    <t>VIII. 세금차감전 순익</t>
    <phoneticPr fontId="2" type="noConversion"/>
  </si>
  <si>
    <t>(경상이익)</t>
    <phoneticPr fontId="2" type="noConversion"/>
  </si>
  <si>
    <t>IX. 세금(법인세 등)</t>
    <phoneticPr fontId="2" type="noConversion"/>
  </si>
  <si>
    <t>X. 당기순이익</t>
    <phoneticPr fontId="2" type="noConversion"/>
  </si>
  <si>
    <t>포장비(원)</t>
  </si>
  <si>
    <t>용기</t>
  </si>
  <si>
    <t>합</t>
  </si>
  <si>
    <t>택배박스</t>
    <phoneticPr fontId="2" type="noConversion"/>
  </si>
  <si>
    <t>택배가격(10kg)</t>
    <phoneticPr fontId="2" type="noConversion"/>
  </si>
  <si>
    <t>생산량(kg)</t>
  </si>
  <si>
    <t xml:space="preserve">생산량(10kg당) </t>
  </si>
  <si>
    <t>택배개수(10kg)</t>
  </si>
  <si>
    <t>13. 추정대차대조표</t>
    <phoneticPr fontId="2" type="noConversion"/>
  </si>
  <si>
    <t>(단위 : 천원)</t>
    <phoneticPr fontId="2" type="noConversion"/>
  </si>
  <si>
    <t>과    목</t>
    <phoneticPr fontId="2" type="noConversion"/>
  </si>
  <si>
    <t>12월31일 현재</t>
    <phoneticPr fontId="2" type="noConversion"/>
  </si>
  <si>
    <t>12월31일 현재</t>
  </si>
  <si>
    <t>자   산</t>
    <phoneticPr fontId="2" type="noConversion"/>
  </si>
  <si>
    <r>
      <rPr>
        <sz val="12"/>
        <rFont val="맑은 고딕"/>
        <family val="3"/>
        <charset val="129"/>
      </rPr>
      <t>Ⅰ</t>
    </r>
    <r>
      <rPr>
        <sz val="12"/>
        <rFont val="굴림"/>
        <family val="3"/>
        <charset val="129"/>
      </rPr>
      <t>. 유동자산</t>
    </r>
    <phoneticPr fontId="2" type="noConversion"/>
  </si>
  <si>
    <t>(1) 당좌자산</t>
    <phoneticPr fontId="2" type="noConversion"/>
  </si>
  <si>
    <t>(2) 재고자산</t>
    <phoneticPr fontId="2" type="noConversion"/>
  </si>
  <si>
    <t xml:space="preserve">  1. 생산물</t>
    <phoneticPr fontId="2" type="noConversion"/>
  </si>
  <si>
    <t xml:space="preserve">  2. 생장물</t>
    <phoneticPr fontId="2" type="noConversion"/>
  </si>
  <si>
    <t xml:space="preserve">  3. 원재료</t>
    <phoneticPr fontId="2" type="noConversion"/>
  </si>
  <si>
    <t xml:space="preserve">  4. 저장품</t>
    <phoneticPr fontId="2" type="noConversion"/>
  </si>
  <si>
    <r>
      <rPr>
        <sz val="12"/>
        <rFont val="맑은 고딕"/>
        <family val="3"/>
        <charset val="129"/>
      </rPr>
      <t>Ⅱ</t>
    </r>
    <r>
      <rPr>
        <sz val="12"/>
        <rFont val="굴림"/>
        <family val="3"/>
        <charset val="129"/>
      </rPr>
      <t>. 비유동자산</t>
    </r>
    <phoneticPr fontId="2" type="noConversion"/>
  </si>
  <si>
    <t xml:space="preserve">  1. 토지</t>
    <phoneticPr fontId="2" type="noConversion"/>
  </si>
  <si>
    <t xml:space="preserve">  2. 설비자산</t>
    <phoneticPr fontId="2" type="noConversion"/>
  </si>
  <si>
    <t>농기계</t>
    <phoneticPr fontId="2" type="noConversion"/>
  </si>
  <si>
    <t>시설</t>
    <phoneticPr fontId="2" type="noConversion"/>
  </si>
  <si>
    <t xml:space="preserve">  3. 생물자산</t>
    <phoneticPr fontId="2" type="noConversion"/>
  </si>
  <si>
    <t xml:space="preserve">  4. 성장중인 생물자산</t>
    <phoneticPr fontId="2" type="noConversion"/>
  </si>
  <si>
    <t>자산 총계</t>
    <phoneticPr fontId="2" type="noConversion"/>
  </si>
  <si>
    <t>부      채</t>
    <phoneticPr fontId="2" type="noConversion"/>
  </si>
  <si>
    <r>
      <rPr>
        <sz val="12"/>
        <rFont val="맑은 고딕"/>
        <family val="3"/>
        <charset val="129"/>
      </rPr>
      <t>Ⅰ</t>
    </r>
    <r>
      <rPr>
        <sz val="12"/>
        <rFont val="굴림"/>
        <family val="3"/>
        <charset val="129"/>
      </rPr>
      <t>. 유동부채</t>
    </r>
    <phoneticPr fontId="2" type="noConversion"/>
  </si>
  <si>
    <r>
      <rPr>
        <sz val="12"/>
        <rFont val="맑은 고딕"/>
        <family val="3"/>
        <charset val="129"/>
      </rPr>
      <t>Ⅱ</t>
    </r>
    <r>
      <rPr>
        <sz val="12"/>
        <rFont val="굴림"/>
        <family val="3"/>
        <charset val="129"/>
      </rPr>
      <t>. 비유동 부채</t>
    </r>
    <phoneticPr fontId="2" type="noConversion"/>
  </si>
  <si>
    <t>부채 총계</t>
    <phoneticPr fontId="2" type="noConversion"/>
  </si>
  <si>
    <t>자      본</t>
    <phoneticPr fontId="2" type="noConversion"/>
  </si>
  <si>
    <r>
      <rPr>
        <sz val="12"/>
        <rFont val="맑은 고딕"/>
        <family val="3"/>
        <charset val="129"/>
      </rPr>
      <t>Ⅰ</t>
    </r>
    <r>
      <rPr>
        <sz val="12"/>
        <rFont val="굴림"/>
        <family val="3"/>
        <charset val="129"/>
      </rPr>
      <t>. 자본금</t>
    </r>
    <phoneticPr fontId="2" type="noConversion"/>
  </si>
  <si>
    <r>
      <rPr>
        <sz val="12"/>
        <rFont val="맑은 고딕"/>
        <family val="3"/>
        <charset val="129"/>
      </rPr>
      <t>Ⅱ</t>
    </r>
    <r>
      <rPr>
        <sz val="12"/>
        <rFont val="굴림"/>
        <family val="3"/>
        <charset val="129"/>
      </rPr>
      <t>. 자본잉여금</t>
    </r>
    <phoneticPr fontId="2" type="noConversion"/>
  </si>
  <si>
    <r>
      <rPr>
        <sz val="12"/>
        <rFont val="맑은 고딕"/>
        <family val="3"/>
        <charset val="129"/>
      </rPr>
      <t>Ⅲ</t>
    </r>
    <r>
      <rPr>
        <sz val="12"/>
        <rFont val="굴림"/>
        <family val="3"/>
        <charset val="129"/>
      </rPr>
      <t>. 이익잉여금</t>
    </r>
    <phoneticPr fontId="2" type="noConversion"/>
  </si>
  <si>
    <t>자본 총계</t>
    <phoneticPr fontId="2" type="noConversion"/>
  </si>
  <si>
    <t>부채와 자본 총계</t>
    <phoneticPr fontId="2" type="noConversion"/>
  </si>
  <si>
    <t>14. 현금흐름계획</t>
  </si>
  <si>
    <t>(단위: 천원)</t>
    <phoneticPr fontId="2" type="noConversion"/>
  </si>
  <si>
    <t>구  분</t>
    <phoneticPr fontId="2" type="noConversion"/>
  </si>
  <si>
    <t>연            도            별</t>
    <phoneticPr fontId="2" type="noConversion"/>
  </si>
  <si>
    <t>비고</t>
    <phoneticPr fontId="2" type="noConversion"/>
  </si>
  <si>
    <t>조
달</t>
    <phoneticPr fontId="2" type="noConversion"/>
  </si>
  <si>
    <t>농산물 판매대금</t>
    <phoneticPr fontId="2" type="noConversion"/>
  </si>
  <si>
    <t>부산물 매출</t>
    <phoneticPr fontId="2" type="noConversion"/>
  </si>
  <si>
    <t>보조금</t>
    <phoneticPr fontId="2" type="noConversion"/>
  </si>
  <si>
    <t>영농착수금</t>
    <phoneticPr fontId="2" type="noConversion"/>
  </si>
  <si>
    <t>자산매각대금</t>
    <phoneticPr fontId="2" type="noConversion"/>
  </si>
  <si>
    <t>융자금</t>
    <phoneticPr fontId="2" type="noConversion"/>
  </si>
  <si>
    <t>기타 수입</t>
    <phoneticPr fontId="2" type="noConversion"/>
  </si>
  <si>
    <t>소   계(A)</t>
    <phoneticPr fontId="2" type="noConversion"/>
  </si>
  <si>
    <t>지
출</t>
    <phoneticPr fontId="2" type="noConversion"/>
  </si>
  <si>
    <t>시설투자</t>
    <phoneticPr fontId="2" type="noConversion"/>
  </si>
  <si>
    <t>농기계투자</t>
    <phoneticPr fontId="2" type="noConversion"/>
  </si>
  <si>
    <t>당기총생산 원가</t>
    <phoneticPr fontId="2" type="noConversion"/>
  </si>
  <si>
    <t>판매 및 일반관리비</t>
    <phoneticPr fontId="2" type="noConversion"/>
  </si>
  <si>
    <t>영업외 비용</t>
    <phoneticPr fontId="2" type="noConversion"/>
  </si>
  <si>
    <t>융자원금상환</t>
    <phoneticPr fontId="2" type="noConversion"/>
  </si>
  <si>
    <t>소  계(B)</t>
    <phoneticPr fontId="2" type="noConversion"/>
  </si>
  <si>
    <t>수지균형(C)
(C=A-B)</t>
    <phoneticPr fontId="2" type="noConversion"/>
  </si>
  <si>
    <t>누적수지균형(D)
(D=전년도D+금년도C)</t>
    <phoneticPr fontId="2" type="noConversion"/>
  </si>
  <si>
    <t>* 당기 총생산원가 중 감가상각비는 제외</t>
    <phoneticPr fontId="2" type="noConversion"/>
  </si>
  <si>
    <t>15. 추정소득분석</t>
    <phoneticPr fontId="2" type="noConversion"/>
  </si>
  <si>
    <t>(단위:천원)</t>
    <phoneticPr fontId="2" type="noConversion"/>
  </si>
  <si>
    <t>비목별</t>
    <phoneticPr fontId="2" type="noConversion"/>
  </si>
  <si>
    <t>조수입</t>
    <phoneticPr fontId="2" type="noConversion"/>
  </si>
  <si>
    <t>주산물가액</t>
    <phoneticPr fontId="2" type="noConversion"/>
  </si>
  <si>
    <t>부산물가액</t>
    <phoneticPr fontId="2" type="noConversion"/>
  </si>
  <si>
    <t>계</t>
    <phoneticPr fontId="2" type="noConversion"/>
  </si>
  <si>
    <t>경 영 비</t>
    <phoneticPr fontId="2" type="noConversion"/>
  </si>
  <si>
    <t>중간재비</t>
    <phoneticPr fontId="2" type="noConversion"/>
  </si>
  <si>
    <t>영농광열비</t>
    <phoneticPr fontId="2" type="noConversion"/>
  </si>
  <si>
    <t>소농구비</t>
    <phoneticPr fontId="2" type="noConversion"/>
  </si>
  <si>
    <t>대농구상각비</t>
    <phoneticPr fontId="2" type="noConversion"/>
  </si>
  <si>
    <t>영농시설상각비</t>
    <phoneticPr fontId="2" type="noConversion"/>
  </si>
  <si>
    <t>생물자산상각비</t>
    <phoneticPr fontId="2" type="noConversion"/>
  </si>
  <si>
    <t>수선비</t>
    <phoneticPr fontId="2" type="noConversion"/>
  </si>
  <si>
    <t>기타 요금</t>
    <phoneticPr fontId="2" type="noConversion"/>
  </si>
  <si>
    <t>임차료</t>
    <phoneticPr fontId="2" type="noConversion"/>
  </si>
  <si>
    <t>토지</t>
    <phoneticPr fontId="2" type="noConversion"/>
  </si>
  <si>
    <t>판매비 및 관리비</t>
    <phoneticPr fontId="2" type="noConversion"/>
  </si>
  <si>
    <t>위탁영농비</t>
    <phoneticPr fontId="2" type="noConversion"/>
  </si>
  <si>
    <t>고용노동비</t>
    <phoneticPr fontId="2" type="noConversion"/>
  </si>
  <si>
    <t>영농잉여</t>
    <phoneticPr fontId="2" type="noConversion"/>
  </si>
  <si>
    <t>영농잉여율</t>
    <phoneticPr fontId="2" type="noConversion"/>
  </si>
  <si>
    <t>이자비용</t>
    <phoneticPr fontId="2" type="noConversion"/>
  </si>
  <si>
    <t>자가노동비</t>
    <phoneticPr fontId="2" type="noConversion"/>
  </si>
  <si>
    <t>소   득</t>
    <phoneticPr fontId="2" type="noConversion"/>
  </si>
  <si>
    <t>소 득 율(%)</t>
    <phoneticPr fontId="2" type="noConversion"/>
  </si>
  <si>
    <t>참고1. 모델농장 분석 요약</t>
    <phoneticPr fontId="2" type="noConversion"/>
  </si>
  <si>
    <t>1) 농장명</t>
  </si>
  <si>
    <t>2) 농장주</t>
  </si>
  <si>
    <t>3) 농장주소</t>
  </si>
  <si>
    <t>4) 농장연혁</t>
  </si>
  <si>
    <t>5) 재배작목</t>
  </si>
  <si>
    <t>6) 농장규모</t>
  </si>
  <si>
    <t>7) 농장인원</t>
  </si>
  <si>
    <t>8) 주요생산시설</t>
  </si>
  <si>
    <t>9) 생산현황</t>
  </si>
  <si>
    <t>10) 판매현황</t>
  </si>
  <si>
    <t>11) 수확후 처리 및 가공방법</t>
  </si>
  <si>
    <t>12) 경영비 내역</t>
  </si>
  <si>
    <t>13) 선정이유</t>
  </si>
  <si>
    <t>14) 시사점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</si>
</sst>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0_ "/>
    <numFmt numFmtId="177" formatCode="#,##0_ "/>
    <numFmt numFmtId="178" formatCode="#,##0_);[Red]\(#,##0\)"/>
    <numFmt numFmtId="179" formatCode="0_);[Red]\(0\)"/>
    <numFmt numFmtId="180" formatCode="#,##0_ ;[Red]\-#,##0\ "/>
    <numFmt numFmtId="181" formatCode="_-* #,##0_-;\-* #,##0_-;_-* &quot;-&quot;??_-;_-@_-"/>
    <numFmt numFmtId="182" formatCode="_-* #,##0.00_-;\-* #,##0.00_-;_-* &quot;-&quot;_-;_-@_-"/>
    <numFmt numFmtId="183" formatCode="#,##0.00_);[Red]\(#,##0.00\)"/>
    <numFmt numFmtId="184" formatCode="#,##0.000_);[Red]\(#,##0.000\)"/>
    <numFmt numFmtId="185" formatCode="0.0%"/>
    <numFmt numFmtId="186" formatCode="0.000_);[Red]\(0.000\)"/>
  </numFmts>
  <fonts count="45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b/>
      <sz val="14"/>
      <name val="굴림"/>
      <family val="3"/>
      <charset val="129"/>
    </font>
    <font>
      <sz val="14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b/>
      <sz val="9"/>
      <name val="굴림"/>
      <family val="3"/>
      <charset val="129"/>
    </font>
    <font>
      <b/>
      <sz val="10"/>
      <name val="굴림"/>
      <family val="3"/>
      <charset val="129"/>
    </font>
    <font>
      <sz val="10"/>
      <name val="굴림"/>
      <family val="3"/>
      <charset val="129"/>
    </font>
    <font>
      <sz val="13"/>
      <name val="굴림"/>
      <family val="3"/>
      <charset val="129"/>
    </font>
    <font>
      <sz val="12"/>
      <name val="굴림"/>
      <family val="3"/>
      <charset val="129"/>
    </font>
    <font>
      <b/>
      <sz val="22"/>
      <name val="굴림"/>
      <family val="3"/>
      <charset val="129"/>
    </font>
    <font>
      <b/>
      <sz val="26"/>
      <name val="굴림"/>
      <family val="3"/>
      <charset val="129"/>
    </font>
    <font>
      <sz val="22"/>
      <name val="굴림"/>
      <family val="3"/>
      <charset val="129"/>
    </font>
    <font>
      <b/>
      <sz val="18"/>
      <name val="굴림"/>
      <family val="3"/>
      <charset val="129"/>
    </font>
    <font>
      <b/>
      <sz val="11"/>
      <name val="돋움"/>
      <family val="3"/>
      <charset val="129"/>
    </font>
    <font>
      <sz val="12"/>
      <name val="돋움"/>
      <family val="3"/>
      <charset val="129"/>
    </font>
    <font>
      <sz val="18"/>
      <name val="굴림"/>
      <family val="3"/>
      <charset val="129"/>
    </font>
    <font>
      <b/>
      <sz val="12"/>
      <color rgb="FF000000"/>
      <name val="굴림"/>
      <family val="3"/>
      <charset val="129"/>
    </font>
    <font>
      <b/>
      <sz val="18"/>
      <color indexed="8"/>
      <name val="굴림"/>
      <family val="3"/>
      <charset val="129"/>
    </font>
    <font>
      <sz val="12"/>
      <name val="맑은 고딕"/>
      <family val="3"/>
      <charset val="129"/>
    </font>
    <font>
      <b/>
      <sz val="12"/>
      <color theme="1"/>
      <name val="굴림"/>
      <family val="3"/>
      <charset val="129"/>
    </font>
    <font>
      <sz val="11"/>
      <color rgb="FF000000"/>
      <name val="굴림"/>
      <family val="3"/>
      <charset val="129"/>
    </font>
    <font>
      <b/>
      <sz val="22"/>
      <name val="HY견고딕"/>
      <family val="1"/>
      <charset val="129"/>
    </font>
    <font>
      <sz val="11"/>
      <name val="HY견고딕"/>
      <family val="1"/>
      <charset val="129"/>
    </font>
    <font>
      <sz val="11"/>
      <name val="바탕"/>
      <family val="1"/>
      <charset val="129"/>
    </font>
    <font>
      <sz val="9"/>
      <name val="굴림"/>
      <family val="3"/>
      <charset val="129"/>
    </font>
    <font>
      <sz val="10"/>
      <color rgb="FF000000"/>
      <name val="굴림"/>
      <family val="3"/>
      <charset val="129"/>
    </font>
    <font>
      <b/>
      <sz val="10"/>
      <name val="돋음"/>
      <family val="3"/>
      <charset val="129"/>
    </font>
    <font>
      <b/>
      <sz val="11"/>
      <color rgb="FF000000"/>
      <name val="굴림"/>
      <family val="3"/>
      <charset val="129"/>
    </font>
    <font>
      <b/>
      <sz val="1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sz val="9"/>
      <name val="돋움"/>
      <family val="3"/>
      <charset val="129"/>
    </font>
    <font>
      <b/>
      <sz val="9"/>
      <color rgb="FF000000"/>
      <name val="굴림"/>
      <family val="3"/>
      <charset val="129"/>
    </font>
    <font>
      <vertAlign val="superscript"/>
      <sz val="11"/>
      <color rgb="FF000000"/>
      <name val="굴림"/>
      <family val="3"/>
      <charset val="129"/>
    </font>
    <font>
      <sz val="12"/>
      <name val="바탕"/>
      <family val="1"/>
      <charset val="129"/>
    </font>
    <font>
      <sz val="12"/>
      <color indexed="8"/>
      <name val="굴림"/>
      <family val="3"/>
      <charset val="129"/>
    </font>
    <font>
      <b/>
      <sz val="12"/>
      <color indexed="8"/>
      <name val="굴림"/>
      <family val="3"/>
      <charset val="129"/>
    </font>
    <font>
      <b/>
      <sz val="10"/>
      <name val="맑은 고딕"/>
      <family val="3"/>
      <charset val="129"/>
    </font>
    <font>
      <b/>
      <sz val="12"/>
      <name val="돋움"/>
      <family val="3"/>
      <charset val="129"/>
    </font>
    <font>
      <sz val="11"/>
      <color rgb="FF000000"/>
      <name val="돋움"/>
      <family val="3"/>
      <charset val="129"/>
    </font>
    <font>
      <sz val="11"/>
      <color rgb="FF568ED4"/>
      <name val="굴림"/>
      <family val="3"/>
      <charset val="129"/>
    </font>
    <font>
      <sz val="11"/>
      <color rgb="FF000000"/>
      <name val="바탕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AC090"/>
        <bgColor indexed="64"/>
      </patternFill>
    </fill>
    <fill>
      <patternFill patternType="solid">
        <fgColor rgb="FF92D050"/>
        <bgColor indexed="64"/>
      </patternFill>
    </fill>
  </fills>
  <borders count="10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2" fillId="0" borderId="0"/>
  </cellStyleXfs>
  <cellXfs count="839">
    <xf numFmtId="0" fontId="0" fillId="0" borderId="0" xfId="0"/>
    <xf numFmtId="0" fontId="3" fillId="2" borderId="4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right" vertical="center"/>
    </xf>
    <xf numFmtId="0" fontId="3" fillId="0" borderId="0" xfId="0" applyFont="1"/>
    <xf numFmtId="177" fontId="3" fillId="0" borderId="0" xfId="0" applyNumberFormat="1" applyFont="1"/>
    <xf numFmtId="6" fontId="3" fillId="0" borderId="0" xfId="0" applyNumberFormat="1" applyFont="1"/>
    <xf numFmtId="0" fontId="3" fillId="0" borderId="4" xfId="0" applyFont="1" applyBorder="1" applyAlignment="1">
      <alignment horizontal="center" vertical="center"/>
    </xf>
    <xf numFmtId="178" fontId="3" fillId="3" borderId="17" xfId="0" applyNumberFormat="1" applyFont="1" applyFill="1" applyBorder="1" applyAlignment="1">
      <alignment vertical="center"/>
    </xf>
    <xf numFmtId="178" fontId="3" fillId="3" borderId="22" xfId="0" applyNumberFormat="1" applyFont="1" applyFill="1" applyBorder="1" applyAlignment="1">
      <alignment vertical="center"/>
    </xf>
    <xf numFmtId="178" fontId="3" fillId="3" borderId="23" xfId="0" applyNumberFormat="1" applyFont="1" applyFill="1" applyBorder="1" applyAlignment="1">
      <alignment vertical="center"/>
    </xf>
    <xf numFmtId="178" fontId="4" fillId="0" borderId="0" xfId="0" applyNumberFormat="1" applyFont="1" applyAlignment="1">
      <alignment vertical="center"/>
    </xf>
    <xf numFmtId="178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178" fontId="3" fillId="3" borderId="29" xfId="0" applyNumberFormat="1" applyFont="1" applyFill="1" applyBorder="1" applyAlignment="1">
      <alignment vertical="center" shrinkToFit="1"/>
    </xf>
    <xf numFmtId="178" fontId="3" fillId="3" borderId="31" xfId="0" applyNumberFormat="1" applyFont="1" applyFill="1" applyBorder="1" applyAlignment="1">
      <alignment vertical="center"/>
    </xf>
    <xf numFmtId="178" fontId="3" fillId="3" borderId="29" xfId="0" applyNumberFormat="1" applyFont="1" applyFill="1" applyBorder="1" applyAlignment="1">
      <alignment vertical="center"/>
    </xf>
    <xf numFmtId="178" fontId="7" fillId="5" borderId="8" xfId="0" applyNumberFormat="1" applyFont="1" applyFill="1" applyBorder="1" applyAlignment="1">
      <alignment horizontal="center" vertical="center"/>
    </xf>
    <xf numFmtId="178" fontId="7" fillId="5" borderId="28" xfId="0" applyNumberFormat="1" applyFont="1" applyFill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41" fontId="3" fillId="0" borderId="11" xfId="1" applyFont="1" applyBorder="1" applyAlignment="1">
      <alignment vertical="center"/>
    </xf>
    <xf numFmtId="178" fontId="3" fillId="3" borderId="3" xfId="0" applyNumberFormat="1" applyFont="1" applyFill="1" applyBorder="1" applyAlignment="1">
      <alignment vertical="center" shrinkToFit="1"/>
    </xf>
    <xf numFmtId="0" fontId="13" fillId="0" borderId="0" xfId="0" applyFont="1" applyAlignment="1">
      <alignment vertical="center"/>
    </xf>
    <xf numFmtId="0" fontId="3" fillId="0" borderId="0" xfId="0" applyFont="1" applyAlignment="1">
      <alignment vertical="center" shrinkToFit="1"/>
    </xf>
    <xf numFmtId="41" fontId="3" fillId="0" borderId="0" xfId="1" applyFont="1" applyAlignment="1">
      <alignment vertical="center" shrinkToFit="1"/>
    </xf>
    <xf numFmtId="0" fontId="3" fillId="2" borderId="0" xfId="0" applyFont="1" applyFill="1" applyAlignment="1">
      <alignment horizontal="center" vertical="center" shrinkToFit="1"/>
    </xf>
    <xf numFmtId="0" fontId="3" fillId="2" borderId="0" xfId="0" applyFont="1" applyFill="1" applyAlignment="1">
      <alignment vertical="center" shrinkToFit="1"/>
    </xf>
    <xf numFmtId="177" fontId="3" fillId="2" borderId="0" xfId="0" applyNumberFormat="1" applyFont="1" applyFill="1" applyAlignment="1">
      <alignment vertical="center" shrinkToFit="1"/>
    </xf>
    <xf numFmtId="0" fontId="7" fillId="2" borderId="0" xfId="0" applyFont="1" applyFill="1" applyAlignment="1">
      <alignment horizontal="center" vertical="center" shrinkToFi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8" fontId="5" fillId="0" borderId="0" xfId="0" applyNumberFormat="1" applyFont="1" applyAlignment="1">
      <alignment vertical="center"/>
    </xf>
    <xf numFmtId="41" fontId="3" fillId="0" borderId="0" xfId="1" applyFont="1" applyBorder="1" applyAlignment="1">
      <alignment horizontal="right" vertical="center" shrinkToFit="1"/>
    </xf>
    <xf numFmtId="41" fontId="3" fillId="2" borderId="0" xfId="1" applyFont="1" applyFill="1" applyBorder="1" applyAlignment="1">
      <alignment horizontal="right" vertical="center" shrinkToFit="1"/>
    </xf>
    <xf numFmtId="41" fontId="3" fillId="0" borderId="33" xfId="1" applyFont="1" applyBorder="1" applyAlignment="1">
      <alignment vertical="center"/>
    </xf>
    <xf numFmtId="178" fontId="3" fillId="0" borderId="5" xfId="0" applyNumberFormat="1" applyFont="1" applyBorder="1" applyAlignment="1">
      <alignment vertical="center"/>
    </xf>
    <xf numFmtId="178" fontId="3" fillId="0" borderId="37" xfId="0" applyNumberFormat="1" applyFont="1" applyBorder="1" applyAlignment="1">
      <alignment vertical="center"/>
    </xf>
    <xf numFmtId="178" fontId="3" fillId="3" borderId="11" xfId="0" applyNumberFormat="1" applyFont="1" applyFill="1" applyBorder="1" applyAlignment="1">
      <alignment vertical="center"/>
    </xf>
    <xf numFmtId="0" fontId="3" fillId="0" borderId="6" xfId="0" applyFont="1" applyBorder="1" applyAlignment="1">
      <alignment vertical="center"/>
    </xf>
    <xf numFmtId="178" fontId="3" fillId="3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3" fillId="3" borderId="0" xfId="0" applyFont="1" applyFill="1" applyAlignment="1">
      <alignment horizontal="right" vertical="center"/>
    </xf>
    <xf numFmtId="0" fontId="3" fillId="0" borderId="4" xfId="0" applyFont="1" applyBorder="1" applyAlignment="1">
      <alignment horizontal="center" vertical="center" wrapText="1"/>
    </xf>
    <xf numFmtId="181" fontId="3" fillId="0" borderId="17" xfId="1" applyNumberFormat="1" applyFont="1" applyBorder="1" applyAlignment="1">
      <alignment vertical="center"/>
    </xf>
    <xf numFmtId="41" fontId="3" fillId="0" borderId="3" xfId="1" applyFont="1" applyBorder="1" applyAlignment="1">
      <alignment vertical="center" shrinkToFit="1"/>
    </xf>
    <xf numFmtId="41" fontId="3" fillId="0" borderId="11" xfId="1" applyFont="1" applyBorder="1" applyAlignment="1">
      <alignment vertical="center" shrinkToFit="1"/>
    </xf>
    <xf numFmtId="41" fontId="3" fillId="5" borderId="3" xfId="1" applyFont="1" applyFill="1" applyBorder="1" applyAlignment="1">
      <alignment vertical="center" shrinkToFit="1"/>
    </xf>
    <xf numFmtId="0" fontId="4" fillId="0" borderId="0" xfId="0" applyFont="1" applyAlignment="1">
      <alignment vertical="center"/>
    </xf>
    <xf numFmtId="0" fontId="4" fillId="0" borderId="0" xfId="0" applyFont="1"/>
    <xf numFmtId="178" fontId="3" fillId="3" borderId="0" xfId="0" applyNumberFormat="1" applyFont="1" applyFill="1" applyAlignment="1">
      <alignment vertical="center"/>
    </xf>
    <xf numFmtId="0" fontId="7" fillId="4" borderId="13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vertical="center"/>
    </xf>
    <xf numFmtId="43" fontId="3" fillId="0" borderId="0" xfId="0" applyNumberFormat="1" applyFont="1" applyAlignment="1">
      <alignment vertical="center"/>
    </xf>
    <xf numFmtId="178" fontId="13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1" fontId="5" fillId="0" borderId="0" xfId="1" applyFont="1" applyAlignment="1">
      <alignment vertical="center"/>
    </xf>
    <xf numFmtId="41" fontId="13" fillId="0" borderId="0" xfId="1" applyFont="1" applyAlignment="1">
      <alignment vertical="center"/>
    </xf>
    <xf numFmtId="41" fontId="4" fillId="0" borderId="0" xfId="1" applyFont="1" applyAlignment="1">
      <alignment vertical="center"/>
    </xf>
    <xf numFmtId="41" fontId="3" fillId="0" borderId="0" xfId="1" applyFont="1" applyAlignment="1">
      <alignment vertical="center"/>
    </xf>
    <xf numFmtId="41" fontId="10" fillId="0" borderId="0" xfId="1" applyFont="1" applyAlignment="1">
      <alignment horizontal="right" vertical="center"/>
    </xf>
    <xf numFmtId="41" fontId="7" fillId="0" borderId="0" xfId="1" applyFont="1" applyFill="1" applyBorder="1" applyAlignment="1">
      <alignment horizontal="left" vertical="center"/>
    </xf>
    <xf numFmtId="41" fontId="13" fillId="0" borderId="0" xfId="1" applyFont="1" applyAlignment="1">
      <alignment horizontal="center" vertical="center"/>
    </xf>
    <xf numFmtId="178" fontId="5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distributed" vertical="center"/>
    </xf>
    <xf numFmtId="178" fontId="11" fillId="0" borderId="0" xfId="0" applyNumberFormat="1" applyFont="1" applyAlignment="1">
      <alignment vertical="center"/>
    </xf>
    <xf numFmtId="43" fontId="0" fillId="0" borderId="0" xfId="0" applyNumberFormat="1"/>
    <xf numFmtId="49" fontId="0" fillId="0" borderId="0" xfId="0" applyNumberFormat="1"/>
    <xf numFmtId="0" fontId="0" fillId="0" borderId="0" xfId="0" applyAlignment="1">
      <alignment horizontal="right"/>
    </xf>
    <xf numFmtId="0" fontId="9" fillId="5" borderId="8" xfId="0" applyFont="1" applyFill="1" applyBorder="1" applyAlignment="1">
      <alignment horizontal="center" vertical="center" shrinkToFit="1"/>
    </xf>
    <xf numFmtId="0" fontId="3" fillId="0" borderId="33" xfId="0" applyFont="1" applyBorder="1" applyAlignment="1">
      <alignment horizontal="right" vertical="center"/>
    </xf>
    <xf numFmtId="41" fontId="3" fillId="0" borderId="3" xfId="1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41" fontId="3" fillId="0" borderId="15" xfId="1" applyFont="1" applyBorder="1" applyAlignment="1">
      <alignment vertical="center"/>
    </xf>
    <xf numFmtId="41" fontId="3" fillId="0" borderId="29" xfId="1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41" fontId="7" fillId="0" borderId="0" xfId="1" applyFont="1" applyAlignment="1">
      <alignment horizontal="left" vertical="center"/>
    </xf>
    <xf numFmtId="0" fontId="3" fillId="0" borderId="0" xfId="0" applyFont="1" applyAlignment="1">
      <alignment vertical="center" wrapText="1"/>
    </xf>
    <xf numFmtId="41" fontId="3" fillId="5" borderId="5" xfId="1" applyFont="1" applyFill="1" applyBorder="1" applyAlignment="1">
      <alignment vertical="center" shrinkToFit="1"/>
    </xf>
    <xf numFmtId="0" fontId="7" fillId="4" borderId="28" xfId="0" applyFont="1" applyFill="1" applyBorder="1" applyAlignment="1">
      <alignment horizontal="center" vertical="center"/>
    </xf>
    <xf numFmtId="41" fontId="3" fillId="2" borderId="11" xfId="1" applyFont="1" applyFill="1" applyBorder="1" applyAlignment="1">
      <alignment vertical="center"/>
    </xf>
    <xf numFmtId="178" fontId="3" fillId="0" borderId="12" xfId="0" applyNumberFormat="1" applyFont="1" applyBorder="1" applyAlignment="1">
      <alignment vertical="center"/>
    </xf>
    <xf numFmtId="0" fontId="16" fillId="3" borderId="0" xfId="0" applyFont="1" applyFill="1" applyAlignment="1">
      <alignment vertical="center"/>
    </xf>
    <xf numFmtId="0" fontId="3" fillId="0" borderId="21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41" fontId="21" fillId="0" borderId="0" xfId="1" applyFont="1" applyAlignment="1">
      <alignment vertical="center"/>
    </xf>
    <xf numFmtId="41" fontId="16" fillId="0" borderId="0" xfId="1" applyFont="1" applyAlignment="1">
      <alignment vertical="center"/>
    </xf>
    <xf numFmtId="178" fontId="6" fillId="5" borderId="29" xfId="0" applyNumberFormat="1" applyFont="1" applyFill="1" applyBorder="1" applyAlignment="1">
      <alignment vertical="center" shrinkToFit="1"/>
    </xf>
    <xf numFmtId="178" fontId="6" fillId="5" borderId="31" xfId="0" applyNumberFormat="1" applyFont="1" applyFill="1" applyBorder="1" applyAlignment="1">
      <alignment vertical="center" shrinkToFit="1"/>
    </xf>
    <xf numFmtId="178" fontId="6" fillId="0" borderId="6" xfId="0" applyNumberFormat="1" applyFont="1" applyBorder="1" applyAlignment="1">
      <alignment horizontal="left" vertical="center" shrinkToFit="1"/>
    </xf>
    <xf numFmtId="178" fontId="6" fillId="0" borderId="6" xfId="0" applyNumberFormat="1" applyFont="1" applyBorder="1" applyAlignment="1">
      <alignment horizontal="center" vertical="center" shrinkToFit="1"/>
    </xf>
    <xf numFmtId="178" fontId="6" fillId="0" borderId="4" xfId="0" applyNumberFormat="1" applyFont="1" applyBorder="1" applyAlignment="1">
      <alignment horizontal="left" vertical="center" shrinkToFit="1"/>
    </xf>
    <xf numFmtId="0" fontId="12" fillId="0" borderId="6" xfId="0" applyFont="1" applyBorder="1" applyAlignment="1">
      <alignment horizontal="left" vertical="center" shrinkToFit="1"/>
    </xf>
    <xf numFmtId="0" fontId="23" fillId="5" borderId="6" xfId="0" applyFont="1" applyFill="1" applyBorder="1" applyAlignment="1">
      <alignment horizontal="center" vertical="center" shrinkToFit="1"/>
    </xf>
    <xf numFmtId="0" fontId="6" fillId="3" borderId="6" xfId="0" applyFont="1" applyFill="1" applyBorder="1" applyAlignment="1">
      <alignment horizontal="center" vertical="center" shrinkToFit="1"/>
    </xf>
    <xf numFmtId="0" fontId="6" fillId="5" borderId="4" xfId="0" applyFont="1" applyFill="1" applyBorder="1" applyAlignment="1">
      <alignment horizontal="left" vertical="center" shrinkToFit="1"/>
    </xf>
    <xf numFmtId="0" fontId="6" fillId="5" borderId="1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 shrinkToFit="1"/>
    </xf>
    <xf numFmtId="41" fontId="12" fillId="0" borderId="42" xfId="0" applyNumberFormat="1" applyFont="1" applyBorder="1" applyAlignment="1">
      <alignment vertical="center"/>
    </xf>
    <xf numFmtId="49" fontId="6" fillId="0" borderId="3" xfId="0" applyNumberFormat="1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5" borderId="34" xfId="0" applyFont="1" applyFill="1" applyBorder="1" applyAlignment="1">
      <alignment horizontal="center" vertical="center" wrapText="1" shrinkToFit="1"/>
    </xf>
    <xf numFmtId="0" fontId="6" fillId="5" borderId="29" xfId="0" applyFont="1" applyFill="1" applyBorder="1" applyAlignment="1">
      <alignment horizontal="center" vertical="center" shrinkToFit="1"/>
    </xf>
    <xf numFmtId="0" fontId="6" fillId="5" borderId="31" xfId="0" applyFont="1" applyFill="1" applyBorder="1" applyAlignment="1">
      <alignment horizontal="center" vertical="center" shrinkToFit="1"/>
    </xf>
    <xf numFmtId="178" fontId="7" fillId="5" borderId="34" xfId="0" applyNumberFormat="1" applyFont="1" applyFill="1" applyBorder="1" applyAlignment="1">
      <alignment horizontal="center" vertical="center" wrapText="1"/>
    </xf>
    <xf numFmtId="178" fontId="27" fillId="0" borderId="0" xfId="0" applyNumberFormat="1" applyFont="1" applyAlignment="1">
      <alignment vertical="center"/>
    </xf>
    <xf numFmtId="41" fontId="3" fillId="2" borderId="3" xfId="1" applyFont="1" applyFill="1" applyBorder="1" applyAlignment="1">
      <alignment vertical="center"/>
    </xf>
    <xf numFmtId="178" fontId="3" fillId="3" borderId="17" xfId="0" applyNumberFormat="1" applyFont="1" applyFill="1" applyBorder="1" applyAlignment="1">
      <alignment vertical="center" shrinkToFit="1"/>
    </xf>
    <xf numFmtId="41" fontId="3" fillId="0" borderId="17" xfId="1" applyFont="1" applyBorder="1" applyAlignment="1">
      <alignment vertical="center" shrinkToFit="1"/>
    </xf>
    <xf numFmtId="0" fontId="0" fillId="0" borderId="0" xfId="0" applyAlignment="1">
      <alignment vertical="center"/>
    </xf>
    <xf numFmtId="41" fontId="7" fillId="0" borderId="0" xfId="1" applyFont="1" applyAlignment="1">
      <alignment horizontal="center" vertical="center"/>
    </xf>
    <xf numFmtId="41" fontId="7" fillId="0" borderId="0" xfId="1" applyFont="1" applyAlignment="1">
      <alignment vertical="center"/>
    </xf>
    <xf numFmtId="176" fontId="7" fillId="3" borderId="0" xfId="0" applyNumberFormat="1" applyFont="1" applyFill="1" applyAlignment="1">
      <alignment vertical="center" shrinkToFit="1"/>
    </xf>
    <xf numFmtId="0" fontId="7" fillId="3" borderId="0" xfId="0" applyFont="1" applyFill="1" applyAlignment="1">
      <alignment vertical="center" shrinkToFit="1"/>
    </xf>
    <xf numFmtId="41" fontId="3" fillId="0" borderId="11" xfId="0" applyNumberFormat="1" applyFont="1" applyBorder="1" applyAlignment="1">
      <alignment vertical="center"/>
    </xf>
    <xf numFmtId="41" fontId="3" fillId="0" borderId="0" xfId="0" applyNumberFormat="1" applyFont="1" applyAlignment="1">
      <alignment vertical="center"/>
    </xf>
    <xf numFmtId="41" fontId="3" fillId="0" borderId="17" xfId="1" applyFont="1" applyBorder="1" applyAlignment="1">
      <alignment vertical="center"/>
    </xf>
    <xf numFmtId="41" fontId="3" fillId="0" borderId="3" xfId="1" applyFont="1" applyBorder="1" applyAlignment="1">
      <alignment horizontal="center" vertical="center" shrinkToFit="1"/>
    </xf>
    <xf numFmtId="41" fontId="3" fillId="0" borderId="5" xfId="1" applyFont="1" applyBorder="1" applyAlignment="1">
      <alignment vertical="center"/>
    </xf>
    <xf numFmtId="0" fontId="24" fillId="0" borderId="68" xfId="0" applyFont="1" applyBorder="1" applyAlignment="1">
      <alignment horizontal="justify" vertical="center" wrapText="1"/>
    </xf>
    <xf numFmtId="0" fontId="24" fillId="0" borderId="69" xfId="0" applyFont="1" applyBorder="1" applyAlignment="1">
      <alignment horizontal="justify" vertical="center" wrapText="1"/>
    </xf>
    <xf numFmtId="0" fontId="24" fillId="0" borderId="70" xfId="0" applyFont="1" applyBorder="1" applyAlignment="1">
      <alignment horizontal="justify" vertical="center" wrapText="1"/>
    </xf>
    <xf numFmtId="0" fontId="24" fillId="0" borderId="71" xfId="0" applyFont="1" applyBorder="1" applyAlignment="1">
      <alignment horizontal="justify" vertical="center" wrapText="1"/>
    </xf>
    <xf numFmtId="0" fontId="24" fillId="0" borderId="72" xfId="0" applyFont="1" applyBorder="1" applyAlignment="1">
      <alignment horizontal="justify" vertical="center" wrapText="1"/>
    </xf>
    <xf numFmtId="0" fontId="24" fillId="0" borderId="73" xfId="0" applyFont="1" applyBorder="1" applyAlignment="1">
      <alignment horizontal="justify" vertical="center" wrapText="1"/>
    </xf>
    <xf numFmtId="0" fontId="24" fillId="0" borderId="74" xfId="0" applyFont="1" applyBorder="1" applyAlignment="1">
      <alignment vertical="center" wrapText="1"/>
    </xf>
    <xf numFmtId="0" fontId="24" fillId="0" borderId="75" xfId="0" applyFont="1" applyBorder="1" applyAlignment="1">
      <alignment vertical="center" wrapText="1"/>
    </xf>
    <xf numFmtId="0" fontId="24" fillId="0" borderId="65" xfId="0" applyFont="1" applyBorder="1" applyAlignment="1">
      <alignment horizontal="justify" vertical="center" wrapText="1"/>
    </xf>
    <xf numFmtId="41" fontId="10" fillId="0" borderId="0" xfId="1" applyFont="1" applyAlignment="1">
      <alignment vertical="center"/>
    </xf>
    <xf numFmtId="41" fontId="7" fillId="5" borderId="3" xfId="1" applyFont="1" applyFill="1" applyBorder="1" applyAlignment="1">
      <alignment horizontal="center" vertical="center"/>
    </xf>
    <xf numFmtId="41" fontId="3" fillId="0" borderId="4" xfId="1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41" fontId="12" fillId="0" borderId="3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178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41" fontId="3" fillId="5" borderId="11" xfId="1" applyFont="1" applyFill="1" applyBorder="1" applyAlignment="1">
      <alignment vertical="center" shrinkToFit="1"/>
    </xf>
    <xf numFmtId="41" fontId="3" fillId="5" borderId="12" xfId="1" applyFont="1" applyFill="1" applyBorder="1" applyAlignment="1">
      <alignment vertical="center" shrinkToFit="1"/>
    </xf>
    <xf numFmtId="41" fontId="12" fillId="0" borderId="11" xfId="0" applyNumberFormat="1" applyFont="1" applyBorder="1" applyAlignment="1">
      <alignment horizontal="center" vertical="center"/>
    </xf>
    <xf numFmtId="41" fontId="12" fillId="0" borderId="11" xfId="0" applyNumberFormat="1" applyFont="1" applyBorder="1" applyAlignment="1">
      <alignment vertical="center"/>
    </xf>
    <xf numFmtId="9" fontId="12" fillId="0" borderId="0" xfId="3" applyFont="1" applyBorder="1" applyAlignment="1">
      <alignment vertical="center"/>
    </xf>
    <xf numFmtId="9" fontId="0" fillId="0" borderId="0" xfId="3" applyFont="1" applyBorder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41" fontId="3" fillId="0" borderId="0" xfId="1" applyFont="1" applyBorder="1" applyAlignment="1">
      <alignment vertical="center"/>
    </xf>
    <xf numFmtId="41" fontId="0" fillId="0" borderId="0" xfId="0" applyNumberFormat="1"/>
    <xf numFmtId="178" fontId="7" fillId="0" borderId="0" xfId="0" applyNumberFormat="1" applyFont="1" applyAlignment="1">
      <alignment vertical="center"/>
    </xf>
    <xf numFmtId="41" fontId="12" fillId="0" borderId="9" xfId="0" applyNumberFormat="1" applyFont="1" applyBorder="1" applyAlignment="1">
      <alignment vertical="center"/>
    </xf>
    <xf numFmtId="41" fontId="3" fillId="0" borderId="11" xfId="1" applyFont="1" applyBorder="1" applyAlignment="1">
      <alignment horizontal="center" vertical="center" wrapText="1"/>
    </xf>
    <xf numFmtId="178" fontId="10" fillId="0" borderId="0" xfId="0" applyNumberFormat="1" applyFont="1" applyAlignment="1">
      <alignment vertical="center"/>
    </xf>
    <xf numFmtId="183" fontId="3" fillId="0" borderId="0" xfId="0" applyNumberFormat="1" applyFont="1" applyAlignment="1">
      <alignment vertical="center"/>
    </xf>
    <xf numFmtId="184" fontId="3" fillId="0" borderId="0" xfId="0" applyNumberFormat="1" applyFont="1" applyAlignment="1">
      <alignment vertical="center"/>
    </xf>
    <xf numFmtId="180" fontId="3" fillId="0" borderId="12" xfId="0" applyNumberFormat="1" applyFont="1" applyBorder="1" applyAlignment="1">
      <alignment horizontal="center" vertical="center"/>
    </xf>
    <xf numFmtId="0" fontId="3" fillId="0" borderId="0" xfId="0" quotePrefix="1" applyFont="1" applyAlignment="1">
      <alignment vertical="center"/>
    </xf>
    <xf numFmtId="178" fontId="3" fillId="0" borderId="0" xfId="0" quotePrefix="1" applyNumberFormat="1" applyFont="1" applyAlignment="1">
      <alignment horizontal="center" vertical="center"/>
    </xf>
    <xf numFmtId="9" fontId="24" fillId="0" borderId="82" xfId="0" applyNumberFormat="1" applyFont="1" applyBorder="1" applyAlignment="1">
      <alignment horizontal="center" vertical="center"/>
    </xf>
    <xf numFmtId="179" fontId="24" fillId="0" borderId="82" xfId="1" applyNumberFormat="1" applyFont="1" applyBorder="1" applyAlignment="1">
      <alignment horizontal="center" vertical="center"/>
    </xf>
    <xf numFmtId="179" fontId="24" fillId="0" borderId="87" xfId="0" applyNumberFormat="1" applyFont="1" applyBorder="1" applyAlignment="1">
      <alignment horizontal="center" vertical="center"/>
    </xf>
    <xf numFmtId="9" fontId="12" fillId="0" borderId="5" xfId="0" applyNumberFormat="1" applyFont="1" applyBorder="1" applyAlignment="1">
      <alignment vertical="center"/>
    </xf>
    <xf numFmtId="9" fontId="12" fillId="0" borderId="12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179" fontId="24" fillId="0" borderId="0" xfId="0" applyNumberFormat="1" applyFont="1" applyAlignment="1">
      <alignment horizontal="center" vertical="center"/>
    </xf>
    <xf numFmtId="178" fontId="29" fillId="0" borderId="0" xfId="0" applyNumberFormat="1" applyFont="1" applyAlignment="1">
      <alignment vertical="center"/>
    </xf>
    <xf numFmtId="0" fontId="30" fillId="0" borderId="33" xfId="0" applyFont="1" applyBorder="1" applyAlignment="1">
      <alignment vertical="center"/>
    </xf>
    <xf numFmtId="0" fontId="7" fillId="0" borderId="43" xfId="0" applyFont="1" applyBorder="1" applyAlignment="1">
      <alignment horizontal="center" vertical="center" wrapText="1"/>
    </xf>
    <xf numFmtId="41" fontId="3" fillId="3" borderId="5" xfId="1" applyFont="1" applyFill="1" applyBorder="1" applyAlignment="1">
      <alignment vertical="center"/>
    </xf>
    <xf numFmtId="41" fontId="3" fillId="0" borderId="12" xfId="1" applyFont="1" applyBorder="1" applyAlignment="1">
      <alignment horizontal="center" vertical="center" wrapText="1"/>
    </xf>
    <xf numFmtId="179" fontId="16" fillId="0" borderId="0" xfId="0" applyNumberFormat="1" applyFont="1" applyAlignment="1">
      <alignment vertical="center"/>
    </xf>
    <xf numFmtId="178" fontId="3" fillId="0" borderId="31" xfId="0" applyNumberFormat="1" applyFont="1" applyBorder="1" applyAlignment="1">
      <alignment vertical="center"/>
    </xf>
    <xf numFmtId="0" fontId="19" fillId="3" borderId="0" xfId="0" applyFont="1" applyFill="1" applyAlignment="1">
      <alignment vertical="center"/>
    </xf>
    <xf numFmtId="0" fontId="7" fillId="5" borderId="13" xfId="0" applyFont="1" applyFill="1" applyBorder="1" applyAlignment="1">
      <alignment horizontal="center" vertical="center" shrinkToFit="1"/>
    </xf>
    <xf numFmtId="0" fontId="3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41" fontId="12" fillId="0" borderId="3" xfId="1" applyFont="1" applyBorder="1" applyAlignment="1">
      <alignment horizontal="center" vertical="center"/>
    </xf>
    <xf numFmtId="41" fontId="12" fillId="0" borderId="3" xfId="0" applyNumberFormat="1" applyFont="1" applyBorder="1" applyAlignment="1">
      <alignment vertical="center"/>
    </xf>
    <xf numFmtId="41" fontId="12" fillId="0" borderId="5" xfId="1" applyFont="1" applyBorder="1" applyAlignment="1">
      <alignment horizontal="center" vertical="center"/>
    </xf>
    <xf numFmtId="41" fontId="12" fillId="0" borderId="3" xfId="1" applyFont="1" applyBorder="1" applyAlignment="1">
      <alignment vertical="center"/>
    </xf>
    <xf numFmtId="41" fontId="12" fillId="0" borderId="3" xfId="0" applyNumberFormat="1" applyFont="1" applyBorder="1" applyAlignment="1">
      <alignment horizontal="right" vertical="center"/>
    </xf>
    <xf numFmtId="178" fontId="3" fillId="3" borderId="22" xfId="0" applyNumberFormat="1" applyFont="1" applyFill="1" applyBorder="1" applyAlignment="1">
      <alignment horizontal="center" vertical="center"/>
    </xf>
    <xf numFmtId="178" fontId="3" fillId="3" borderId="23" xfId="0" applyNumberFormat="1" applyFont="1" applyFill="1" applyBorder="1" applyAlignment="1">
      <alignment horizontal="center" vertical="center"/>
    </xf>
    <xf numFmtId="179" fontId="16" fillId="0" borderId="33" xfId="0" applyNumberFormat="1" applyFont="1" applyBorder="1" applyAlignment="1">
      <alignment vertical="center"/>
    </xf>
    <xf numFmtId="0" fontId="6" fillId="5" borderId="3" xfId="0" applyFont="1" applyFill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41" fontId="10" fillId="0" borderId="0" xfId="1" applyFont="1" applyBorder="1" applyAlignment="1">
      <alignment horizontal="right" vertical="center" shrinkToFit="1"/>
    </xf>
    <xf numFmtId="41" fontId="10" fillId="2" borderId="0" xfId="1" applyFont="1" applyFill="1" applyBorder="1" applyAlignment="1">
      <alignment horizontal="right" vertical="center" shrinkToFit="1"/>
    </xf>
    <xf numFmtId="177" fontId="3" fillId="2" borderId="5" xfId="0" applyNumberFormat="1" applyFont="1" applyFill="1" applyBorder="1" applyAlignment="1">
      <alignment vertical="center" shrinkToFit="1"/>
    </xf>
    <xf numFmtId="177" fontId="3" fillId="2" borderId="5" xfId="0" applyNumberFormat="1" applyFont="1" applyFill="1" applyBorder="1" applyAlignment="1">
      <alignment horizontal="center" vertical="center" shrinkToFit="1"/>
    </xf>
    <xf numFmtId="3" fontId="3" fillId="2" borderId="5" xfId="0" applyNumberFormat="1" applyFont="1" applyFill="1" applyBorder="1" applyAlignment="1">
      <alignment horizontal="right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41" fontId="3" fillId="0" borderId="5" xfId="1" applyFont="1" applyBorder="1" applyAlignment="1">
      <alignment horizontal="center" vertical="center" shrinkToFit="1"/>
    </xf>
    <xf numFmtId="0" fontId="3" fillId="0" borderId="5" xfId="0" applyFont="1" applyBorder="1" applyAlignment="1">
      <alignment horizontal="right" vertical="center" shrinkToFit="1"/>
    </xf>
    <xf numFmtId="3" fontId="3" fillId="0" borderId="5" xfId="0" applyNumberFormat="1" applyFont="1" applyBorder="1" applyAlignment="1">
      <alignment horizontal="center" vertical="center" shrinkToFit="1"/>
    </xf>
    <xf numFmtId="41" fontId="3" fillId="3" borderId="3" xfId="1" applyFont="1" applyFill="1" applyBorder="1" applyAlignment="1">
      <alignment vertical="center"/>
    </xf>
    <xf numFmtId="41" fontId="3" fillId="3" borderId="3" xfId="1" applyFont="1" applyFill="1" applyBorder="1" applyAlignment="1">
      <alignment vertical="center" shrinkToFit="1"/>
    </xf>
    <xf numFmtId="41" fontId="10" fillId="0" borderId="11" xfId="1" applyFont="1" applyBorder="1" applyAlignment="1">
      <alignment vertical="center" wrapText="1"/>
    </xf>
    <xf numFmtId="0" fontId="3" fillId="0" borderId="0" xfId="0" applyFont="1" applyAlignment="1">
      <alignment horizontal="center" vertical="center" shrinkToFit="1"/>
    </xf>
    <xf numFmtId="41" fontId="3" fillId="0" borderId="0" xfId="1" applyFont="1" applyBorder="1" applyAlignment="1">
      <alignment horizontal="center" vertical="center" shrinkToFit="1"/>
    </xf>
    <xf numFmtId="3" fontId="3" fillId="0" borderId="0" xfId="0" applyNumberFormat="1" applyFont="1" applyAlignment="1">
      <alignment horizontal="center" vertical="center" shrinkToFit="1"/>
    </xf>
    <xf numFmtId="41" fontId="7" fillId="0" borderId="0" xfId="1" applyFont="1" applyAlignment="1">
      <alignment vertical="center" wrapText="1"/>
    </xf>
    <xf numFmtId="41" fontId="35" fillId="0" borderId="15" xfId="1" applyFont="1" applyBorder="1" applyAlignment="1">
      <alignment horizontal="center" vertical="center" wrapText="1"/>
    </xf>
    <xf numFmtId="176" fontId="35" fillId="0" borderId="15" xfId="0" applyNumberFormat="1" applyFont="1" applyBorder="1" applyAlignment="1">
      <alignment horizontal="center" vertical="center" wrapText="1"/>
    </xf>
    <xf numFmtId="41" fontId="35" fillId="0" borderId="3" xfId="1" applyFont="1" applyBorder="1" applyAlignment="1">
      <alignment horizontal="center" vertical="center" wrapText="1"/>
    </xf>
    <xf numFmtId="179" fontId="35" fillId="0" borderId="3" xfId="1" applyNumberFormat="1" applyFont="1" applyBorder="1" applyAlignment="1">
      <alignment horizontal="center" vertical="center" wrapText="1"/>
    </xf>
    <xf numFmtId="176" fontId="35" fillId="0" borderId="3" xfId="0" applyNumberFormat="1" applyFont="1" applyBorder="1" applyAlignment="1">
      <alignment horizontal="center" vertical="center" wrapText="1"/>
    </xf>
    <xf numFmtId="178" fontId="5" fillId="0" borderId="0" xfId="0" applyNumberFormat="1" applyFont="1" applyAlignment="1">
      <alignment vertical="center" wrapText="1"/>
    </xf>
    <xf numFmtId="178" fontId="3" fillId="0" borderId="0" xfId="0" applyNumberFormat="1" applyFont="1" applyAlignment="1">
      <alignment vertical="center" wrapText="1"/>
    </xf>
    <xf numFmtId="0" fontId="24" fillId="7" borderId="79" xfId="0" applyFont="1" applyFill="1" applyBorder="1" applyAlignment="1">
      <alignment horizontal="center" vertical="center"/>
    </xf>
    <xf numFmtId="0" fontId="24" fillId="7" borderId="80" xfId="0" applyFont="1" applyFill="1" applyBorder="1" applyAlignment="1">
      <alignment horizontal="center" vertical="center"/>
    </xf>
    <xf numFmtId="178" fontId="24" fillId="0" borderId="71" xfId="0" applyNumberFormat="1" applyFont="1" applyBorder="1" applyAlignment="1">
      <alignment vertical="center"/>
    </xf>
    <xf numFmtId="178" fontId="24" fillId="0" borderId="83" xfId="0" applyNumberFormat="1" applyFont="1" applyBorder="1" applyAlignment="1">
      <alignment vertical="center"/>
    </xf>
    <xf numFmtId="178" fontId="24" fillId="0" borderId="88" xfId="0" applyNumberFormat="1" applyFont="1" applyBorder="1" applyAlignment="1">
      <alignment vertical="center"/>
    </xf>
    <xf numFmtId="178" fontId="3" fillId="0" borderId="33" xfId="0" applyNumberFormat="1" applyFont="1" applyBorder="1" applyAlignment="1">
      <alignment vertical="center"/>
    </xf>
    <xf numFmtId="178" fontId="3" fillId="0" borderId="33" xfId="0" applyNumberFormat="1" applyFont="1" applyBorder="1" applyAlignment="1">
      <alignment horizontal="right" vertical="center"/>
    </xf>
    <xf numFmtId="41" fontId="12" fillId="3" borderId="3" xfId="0" applyNumberFormat="1" applyFont="1" applyFill="1" applyBorder="1" applyAlignment="1">
      <alignment horizontal="right" vertical="center"/>
    </xf>
    <xf numFmtId="41" fontId="12" fillId="3" borderId="11" xfId="0" applyNumberFormat="1" applyFont="1" applyFill="1" applyBorder="1" applyAlignment="1">
      <alignment horizontal="right" vertical="center"/>
    </xf>
    <xf numFmtId="41" fontId="12" fillId="0" borderId="11" xfId="0" applyNumberFormat="1" applyFont="1" applyBorder="1" applyAlignment="1">
      <alignment horizontal="right" vertical="center"/>
    </xf>
    <xf numFmtId="41" fontId="12" fillId="0" borderId="0" xfId="0" applyNumberFormat="1" applyFont="1" applyAlignment="1">
      <alignment vertical="center"/>
    </xf>
    <xf numFmtId="41" fontId="12" fillId="0" borderId="5" xfId="0" applyNumberFormat="1" applyFont="1" applyBorder="1" applyAlignment="1">
      <alignment horizontal="right" vertical="center"/>
    </xf>
    <xf numFmtId="41" fontId="12" fillId="0" borderId="12" xfId="0" applyNumberFormat="1" applyFont="1" applyBorder="1" applyAlignment="1">
      <alignment horizontal="right" vertical="center"/>
    </xf>
    <xf numFmtId="41" fontId="12" fillId="0" borderId="3" xfId="0" applyNumberFormat="1" applyFont="1" applyBorder="1" applyAlignment="1">
      <alignment vertical="center" shrinkToFit="1"/>
    </xf>
    <xf numFmtId="41" fontId="12" fillId="0" borderId="11" xfId="0" applyNumberFormat="1" applyFont="1" applyBorder="1" applyAlignment="1">
      <alignment vertical="center" shrinkToFit="1"/>
    </xf>
    <xf numFmtId="178" fontId="37" fillId="0" borderId="0" xfId="0" applyNumberFormat="1" applyFont="1" applyAlignment="1">
      <alignment vertical="center"/>
    </xf>
    <xf numFmtId="43" fontId="37" fillId="0" borderId="0" xfId="0" applyNumberFormat="1" applyFont="1" applyAlignment="1">
      <alignment vertical="center"/>
    </xf>
    <xf numFmtId="41" fontId="12" fillId="0" borderId="5" xfId="0" applyNumberFormat="1" applyFont="1" applyBorder="1" applyAlignment="1">
      <alignment vertical="center" shrinkToFit="1"/>
    </xf>
    <xf numFmtId="41" fontId="12" fillId="0" borderId="12" xfId="0" applyNumberFormat="1" applyFont="1" applyBorder="1" applyAlignment="1">
      <alignment vertical="center" shrinkToFit="1"/>
    </xf>
    <xf numFmtId="178" fontId="6" fillId="5" borderId="3" xfId="0" applyNumberFormat="1" applyFont="1" applyFill="1" applyBorder="1" applyAlignment="1">
      <alignment horizontal="center" vertical="center" shrinkToFit="1"/>
    </xf>
    <xf numFmtId="178" fontId="38" fillId="5" borderId="41" xfId="2" applyNumberFormat="1" applyFont="1" applyFill="1" applyBorder="1" applyAlignment="1">
      <alignment horizontal="center" vertical="center" shrinkToFit="1"/>
    </xf>
    <xf numFmtId="178" fontId="39" fillId="5" borderId="41" xfId="2" applyNumberFormat="1" applyFont="1" applyFill="1" applyBorder="1" applyAlignment="1">
      <alignment horizontal="center" vertical="center" shrinkToFit="1"/>
    </xf>
    <xf numFmtId="178" fontId="12" fillId="5" borderId="3" xfId="0" applyNumberFormat="1" applyFont="1" applyFill="1" applyBorder="1" applyAlignment="1">
      <alignment horizontal="center" vertical="center"/>
    </xf>
    <xf numFmtId="178" fontId="12" fillId="5" borderId="11" xfId="0" applyNumberFormat="1" applyFont="1" applyFill="1" applyBorder="1" applyAlignment="1">
      <alignment horizontal="center" vertical="center"/>
    </xf>
    <xf numFmtId="41" fontId="12" fillId="3" borderId="3" xfId="1" applyFont="1" applyFill="1" applyBorder="1" applyAlignment="1">
      <alignment horizontal="right" vertical="center" shrinkToFit="1"/>
    </xf>
    <xf numFmtId="41" fontId="12" fillId="3" borderId="41" xfId="1" applyFont="1" applyFill="1" applyBorder="1" applyAlignment="1">
      <alignment horizontal="right" vertical="center" shrinkToFit="1"/>
    </xf>
    <xf numFmtId="178" fontId="12" fillId="0" borderId="3" xfId="0" applyNumberFormat="1" applyFont="1" applyBorder="1" applyAlignment="1">
      <alignment vertical="center"/>
    </xf>
    <xf numFmtId="178" fontId="12" fillId="0" borderId="11" xfId="0" applyNumberFormat="1" applyFont="1" applyBorder="1" applyAlignment="1">
      <alignment vertical="center"/>
    </xf>
    <xf numFmtId="9" fontId="12" fillId="3" borderId="3" xfId="1" applyNumberFormat="1" applyFont="1" applyFill="1" applyBorder="1" applyAlignment="1">
      <alignment horizontal="right" vertical="center" shrinkToFit="1"/>
    </xf>
    <xf numFmtId="9" fontId="12" fillId="3" borderId="41" xfId="1" applyNumberFormat="1" applyFont="1" applyFill="1" applyBorder="1" applyAlignment="1">
      <alignment horizontal="right" vertical="center" shrinkToFit="1"/>
    </xf>
    <xf numFmtId="41" fontId="12" fillId="0" borderId="30" xfId="1" applyFont="1" applyBorder="1" applyAlignment="1">
      <alignment horizontal="right" vertical="center" shrinkToFit="1"/>
    </xf>
    <xf numFmtId="41" fontId="12" fillId="0" borderId="77" xfId="1" applyFont="1" applyBorder="1" applyAlignment="1">
      <alignment horizontal="right" vertical="center" shrinkToFit="1"/>
    </xf>
    <xf numFmtId="9" fontId="12" fillId="0" borderId="3" xfId="0" applyNumberFormat="1" applyFont="1" applyBorder="1" applyAlignment="1">
      <alignment vertical="center"/>
    </xf>
    <xf numFmtId="41" fontId="12" fillId="0" borderId="3" xfId="1" applyFont="1" applyBorder="1" applyAlignment="1">
      <alignment horizontal="right" vertical="center" shrinkToFit="1"/>
    </xf>
    <xf numFmtId="41" fontId="12" fillId="0" borderId="41" xfId="1" applyFont="1" applyBorder="1" applyAlignment="1">
      <alignment horizontal="right" vertical="center" shrinkToFit="1"/>
    </xf>
    <xf numFmtId="41" fontId="12" fillId="0" borderId="5" xfId="1" applyFont="1" applyBorder="1" applyAlignment="1">
      <alignment horizontal="right" vertical="center" shrinkToFit="1"/>
    </xf>
    <xf numFmtId="41" fontId="12" fillId="0" borderId="45" xfId="1" applyFont="1" applyBorder="1" applyAlignment="1">
      <alignment horizontal="right" vertical="center" shrinkToFit="1"/>
    </xf>
    <xf numFmtId="41" fontId="12" fillId="2" borderId="45" xfId="1" applyFont="1" applyFill="1" applyBorder="1" applyAlignment="1">
      <alignment horizontal="right" vertical="center" shrinkToFit="1"/>
    </xf>
    <xf numFmtId="178" fontId="12" fillId="0" borderId="5" xfId="0" applyNumberFormat="1" applyFont="1" applyBorder="1" applyAlignment="1">
      <alignment vertical="center"/>
    </xf>
    <xf numFmtId="178" fontId="12" fillId="0" borderId="12" xfId="0" applyNumberFormat="1" applyFont="1" applyBorder="1" applyAlignment="1">
      <alignment vertical="center"/>
    </xf>
    <xf numFmtId="178" fontId="39" fillId="5" borderId="3" xfId="2" applyNumberFormat="1" applyFont="1" applyFill="1" applyBorder="1" applyAlignment="1">
      <alignment horizontal="center" vertical="center" shrinkToFit="1"/>
    </xf>
    <xf numFmtId="178" fontId="6" fillId="5" borderId="11" xfId="0" applyNumberFormat="1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41" fontId="12" fillId="0" borderId="5" xfId="1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181" fontId="12" fillId="0" borderId="3" xfId="0" applyNumberFormat="1" applyFont="1" applyBorder="1" applyAlignment="1">
      <alignment horizontal="center" vertical="center"/>
    </xf>
    <xf numFmtId="181" fontId="12" fillId="0" borderId="5" xfId="0" applyNumberFormat="1" applyFont="1" applyBorder="1" applyAlignment="1">
      <alignment horizontal="center" vertical="center"/>
    </xf>
    <xf numFmtId="178" fontId="9" fillId="5" borderId="13" xfId="0" applyNumberFormat="1" applyFont="1" applyFill="1" applyBorder="1" applyAlignment="1">
      <alignment horizontal="center" vertical="center"/>
    </xf>
    <xf numFmtId="178" fontId="9" fillId="5" borderId="8" xfId="0" applyNumberFormat="1" applyFont="1" applyFill="1" applyBorder="1" applyAlignment="1">
      <alignment horizontal="center" vertical="center"/>
    </xf>
    <xf numFmtId="178" fontId="9" fillId="0" borderId="6" xfId="0" applyNumberFormat="1" applyFont="1" applyBorder="1" applyAlignment="1">
      <alignment vertical="center" shrinkToFit="1"/>
    </xf>
    <xf numFmtId="41" fontId="10" fillId="0" borderId="3" xfId="1" applyFont="1" applyBorder="1" applyAlignment="1">
      <alignment vertical="center"/>
    </xf>
    <xf numFmtId="41" fontId="10" fillId="0" borderId="11" xfId="1" applyFont="1" applyBorder="1" applyAlignment="1">
      <alignment vertical="center"/>
    </xf>
    <xf numFmtId="41" fontId="10" fillId="0" borderId="3" xfId="0" applyNumberFormat="1" applyFont="1" applyBorder="1" applyAlignment="1">
      <alignment vertical="center"/>
    </xf>
    <xf numFmtId="41" fontId="10" fillId="0" borderId="11" xfId="0" applyNumberFormat="1" applyFont="1" applyBorder="1" applyAlignment="1">
      <alignment vertical="center"/>
    </xf>
    <xf numFmtId="178" fontId="9" fillId="0" borderId="6" xfId="0" applyNumberFormat="1" applyFont="1" applyBorder="1" applyAlignment="1">
      <alignment vertical="center"/>
    </xf>
    <xf numFmtId="178" fontId="9" fillId="0" borderId="6" xfId="0" applyNumberFormat="1" applyFont="1" applyBorder="1" applyAlignment="1">
      <alignment horizontal="left" vertical="center" shrinkToFit="1"/>
    </xf>
    <xf numFmtId="178" fontId="9" fillId="0" borderId="60" xfId="0" applyNumberFormat="1" applyFont="1" applyBorder="1" applyAlignment="1">
      <alignment vertical="center" shrinkToFit="1"/>
    </xf>
    <xf numFmtId="41" fontId="10" fillId="0" borderId="15" xfId="1" applyFont="1" applyBorder="1" applyAlignment="1">
      <alignment vertical="center"/>
    </xf>
    <xf numFmtId="41" fontId="10" fillId="0" borderId="22" xfId="1" applyFont="1" applyBorder="1" applyAlignment="1">
      <alignment vertical="center"/>
    </xf>
    <xf numFmtId="178" fontId="9" fillId="0" borderId="58" xfId="0" applyNumberFormat="1" applyFont="1" applyBorder="1" applyAlignment="1">
      <alignment vertical="center" shrinkToFit="1"/>
    </xf>
    <xf numFmtId="41" fontId="10" fillId="0" borderId="17" xfId="1" applyFont="1" applyBorder="1" applyAlignment="1">
      <alignment vertical="center"/>
    </xf>
    <xf numFmtId="41" fontId="10" fillId="0" borderId="0" xfId="1" applyFont="1" applyBorder="1" applyAlignment="1">
      <alignment vertical="center"/>
    </xf>
    <xf numFmtId="41" fontId="10" fillId="0" borderId="23" xfId="1" applyFont="1" applyBorder="1" applyAlignment="1">
      <alignment vertical="center"/>
    </xf>
    <xf numFmtId="178" fontId="9" fillId="0" borderId="57" xfId="0" applyNumberFormat="1" applyFont="1" applyBorder="1" applyAlignment="1">
      <alignment vertical="center" shrinkToFit="1"/>
    </xf>
    <xf numFmtId="41" fontId="10" fillId="0" borderId="29" xfId="1" applyFont="1" applyBorder="1" applyAlignment="1">
      <alignment vertical="center"/>
    </xf>
    <xf numFmtId="41" fontId="10" fillId="0" borderId="2" xfId="1" applyFont="1" applyBorder="1" applyAlignment="1">
      <alignment vertical="center"/>
    </xf>
    <xf numFmtId="41" fontId="10" fillId="0" borderId="31" xfId="1" applyFont="1" applyBorder="1" applyAlignment="1">
      <alignment vertical="center"/>
    </xf>
    <xf numFmtId="41" fontId="10" fillId="0" borderId="21" xfId="1" applyFont="1" applyBorder="1" applyAlignment="1">
      <alignment vertical="center"/>
    </xf>
    <xf numFmtId="41" fontId="10" fillId="0" borderId="40" xfId="1" applyFont="1" applyBorder="1" applyAlignment="1">
      <alignment vertical="center"/>
    </xf>
    <xf numFmtId="178" fontId="9" fillId="0" borderId="14" xfId="0" applyNumberFormat="1" applyFont="1" applyBorder="1" applyAlignment="1">
      <alignment vertical="center" shrinkToFit="1"/>
    </xf>
    <xf numFmtId="178" fontId="9" fillId="0" borderId="4" xfId="0" applyNumberFormat="1" applyFont="1" applyBorder="1" applyAlignment="1">
      <alignment vertical="center" shrinkToFit="1"/>
    </xf>
    <xf numFmtId="41" fontId="10" fillId="0" borderId="5" xfId="1" applyFont="1" applyBorder="1" applyAlignment="1">
      <alignment vertical="center"/>
    </xf>
    <xf numFmtId="41" fontId="10" fillId="0" borderId="12" xfId="1" applyFont="1" applyBorder="1" applyAlignment="1">
      <alignment vertical="center"/>
    </xf>
    <xf numFmtId="41" fontId="28" fillId="0" borderId="0" xfId="1" applyFont="1" applyAlignment="1">
      <alignment vertical="center"/>
    </xf>
    <xf numFmtId="41" fontId="7" fillId="0" borderId="0" xfId="1" applyFont="1" applyBorder="1" applyAlignment="1">
      <alignment vertical="center"/>
    </xf>
    <xf numFmtId="41" fontId="3" fillId="3" borderId="5" xfId="1" applyFont="1" applyFill="1" applyBorder="1" applyAlignment="1">
      <alignment horizontal="center" vertical="center" shrinkToFit="1"/>
    </xf>
    <xf numFmtId="178" fontId="3" fillId="3" borderId="3" xfId="0" applyNumberFormat="1" applyFont="1" applyFill="1" applyBorder="1" applyAlignment="1">
      <alignment horizontal="right" vertical="center"/>
    </xf>
    <xf numFmtId="178" fontId="3" fillId="0" borderId="11" xfId="0" applyNumberFormat="1" applyFont="1" applyBorder="1" applyAlignment="1">
      <alignment vertical="center"/>
    </xf>
    <xf numFmtId="41" fontId="6" fillId="5" borderId="36" xfId="1" applyFont="1" applyFill="1" applyBorder="1" applyAlignment="1">
      <alignment horizontal="center" vertical="center" shrinkToFit="1"/>
    </xf>
    <xf numFmtId="0" fontId="6" fillId="5" borderId="49" xfId="0" applyFont="1" applyFill="1" applyBorder="1" applyAlignment="1">
      <alignment horizontal="center" vertical="center" shrinkToFit="1"/>
    </xf>
    <xf numFmtId="0" fontId="6" fillId="5" borderId="93" xfId="1" applyNumberFormat="1" applyFont="1" applyFill="1" applyBorder="1" applyAlignment="1">
      <alignment horizontal="center" vertical="center" shrinkToFit="1"/>
    </xf>
    <xf numFmtId="0" fontId="6" fillId="5" borderId="13" xfId="0" applyFont="1" applyFill="1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41" fontId="12" fillId="2" borderId="5" xfId="1" applyFont="1" applyFill="1" applyBorder="1" applyAlignment="1">
      <alignment horizontal="center" vertical="center" shrinkToFit="1"/>
    </xf>
    <xf numFmtId="0" fontId="12" fillId="2" borderId="6" xfId="0" applyFont="1" applyFill="1" applyBorder="1" applyAlignment="1">
      <alignment horizontal="center" vertical="center" shrinkToFit="1"/>
    </xf>
    <xf numFmtId="42" fontId="16" fillId="0" borderId="0" xfId="0" applyNumberFormat="1" applyFont="1" applyAlignment="1">
      <alignment vertical="center"/>
    </xf>
    <xf numFmtId="0" fontId="7" fillId="5" borderId="36" xfId="0" applyFont="1" applyFill="1" applyBorder="1" applyAlignment="1">
      <alignment horizontal="center" vertical="center"/>
    </xf>
    <xf numFmtId="178" fontId="7" fillId="5" borderId="34" xfId="0" applyNumberFormat="1" applyFont="1" applyFill="1" applyBorder="1" applyAlignment="1">
      <alignment horizontal="center" vertical="center"/>
    </xf>
    <xf numFmtId="178" fontId="7" fillId="5" borderId="35" xfId="0" applyNumberFormat="1" applyFont="1" applyFill="1" applyBorder="1" applyAlignment="1">
      <alignment horizontal="center" vertical="center"/>
    </xf>
    <xf numFmtId="178" fontId="3" fillId="0" borderId="3" xfId="1" applyNumberFormat="1" applyFont="1" applyBorder="1" applyAlignment="1">
      <alignment vertical="center"/>
    </xf>
    <xf numFmtId="178" fontId="0" fillId="0" borderId="3" xfId="0" applyNumberFormat="1" applyBorder="1"/>
    <xf numFmtId="178" fontId="0" fillId="0" borderId="11" xfId="0" applyNumberFormat="1" applyBorder="1"/>
    <xf numFmtId="41" fontId="3" fillId="0" borderId="5" xfId="0" applyNumberFormat="1" applyFont="1" applyBorder="1" applyAlignment="1">
      <alignment vertical="center"/>
    </xf>
    <xf numFmtId="41" fontId="3" fillId="0" borderId="3" xfId="0" applyNumberFormat="1" applyFont="1" applyBorder="1" applyAlignment="1">
      <alignment vertical="center"/>
    </xf>
    <xf numFmtId="42" fontId="16" fillId="0" borderId="0" xfId="0" applyNumberFormat="1" applyFont="1" applyAlignment="1">
      <alignment vertical="center" wrapText="1"/>
    </xf>
    <xf numFmtId="41" fontId="3" fillId="0" borderId="3" xfId="0" applyNumberFormat="1" applyFont="1" applyBorder="1" applyAlignment="1">
      <alignment vertical="center" wrapText="1"/>
    </xf>
    <xf numFmtId="0" fontId="7" fillId="3" borderId="4" xfId="0" applyFont="1" applyFill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41" fontId="3" fillId="0" borderId="12" xfId="1" applyFont="1" applyBorder="1" applyAlignment="1">
      <alignment vertical="center"/>
    </xf>
    <xf numFmtId="181" fontId="3" fillId="0" borderId="0" xfId="0" applyNumberFormat="1" applyFont="1"/>
    <xf numFmtId="0" fontId="3" fillId="0" borderId="11" xfId="0" applyFont="1" applyBorder="1"/>
    <xf numFmtId="0" fontId="3" fillId="0" borderId="12" xfId="0" applyFont="1" applyBorder="1"/>
    <xf numFmtId="178" fontId="3" fillId="0" borderId="15" xfId="0" applyNumberFormat="1" applyFont="1" applyBorder="1" applyAlignment="1">
      <alignment horizontal="center" vertical="center" wrapText="1"/>
    </xf>
    <xf numFmtId="3" fontId="3" fillId="0" borderId="15" xfId="0" applyNumberFormat="1" applyFont="1" applyBorder="1" applyAlignment="1">
      <alignment horizontal="center" vertical="center" wrapText="1"/>
    </xf>
    <xf numFmtId="3" fontId="3" fillId="0" borderId="20" xfId="0" applyNumberFormat="1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41" fontId="3" fillId="3" borderId="3" xfId="1" applyFont="1" applyFill="1" applyBorder="1" applyAlignment="1">
      <alignment horizontal="center" vertical="center" shrinkToFit="1"/>
    </xf>
    <xf numFmtId="41" fontId="3" fillId="3" borderId="3" xfId="1" applyFont="1" applyFill="1" applyBorder="1" applyAlignment="1">
      <alignment horizontal="center" vertical="center"/>
    </xf>
    <xf numFmtId="41" fontId="3" fillId="0" borderId="3" xfId="1" applyFont="1" applyBorder="1" applyAlignment="1">
      <alignment horizontal="right" vertical="center"/>
    </xf>
    <xf numFmtId="0" fontId="1" fillId="0" borderId="0" xfId="2">
      <alignment vertical="center"/>
    </xf>
    <xf numFmtId="0" fontId="6" fillId="3" borderId="0" xfId="0" applyFont="1" applyFill="1" applyAlignment="1">
      <alignment horizontal="center" vertical="center"/>
    </xf>
    <xf numFmtId="41" fontId="12" fillId="0" borderId="0" xfId="1" applyFont="1" applyBorder="1" applyAlignment="1">
      <alignment vertical="center"/>
    </xf>
    <xf numFmtId="41" fontId="3" fillId="0" borderId="11" xfId="1" applyFont="1" applyBorder="1" applyAlignment="1">
      <alignment vertical="center" wrapText="1"/>
    </xf>
    <xf numFmtId="179" fontId="24" fillId="0" borderId="94" xfId="1" applyNumberFormat="1" applyFont="1" applyBorder="1" applyAlignment="1">
      <alignment horizontal="center" vertical="center"/>
    </xf>
    <xf numFmtId="178" fontId="24" fillId="0" borderId="95" xfId="0" applyNumberFormat="1" applyFont="1" applyBorder="1" applyAlignment="1">
      <alignment vertical="center"/>
    </xf>
    <xf numFmtId="0" fontId="3" fillId="0" borderId="6" xfId="1" applyNumberFormat="1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 shrinkToFit="1"/>
    </xf>
    <xf numFmtId="0" fontId="7" fillId="5" borderId="28" xfId="0" applyFont="1" applyFill="1" applyBorder="1" applyAlignment="1">
      <alignment horizontal="center" vertical="center" shrinkToFit="1"/>
    </xf>
    <xf numFmtId="0" fontId="6" fillId="5" borderId="8" xfId="0" applyFont="1" applyFill="1" applyBorder="1" applyAlignment="1">
      <alignment horizontal="center" vertical="center" shrinkToFit="1"/>
    </xf>
    <xf numFmtId="0" fontId="6" fillId="5" borderId="28" xfId="0" applyFont="1" applyFill="1" applyBorder="1" applyAlignment="1">
      <alignment horizontal="center" vertical="center" shrinkToFit="1"/>
    </xf>
    <xf numFmtId="0" fontId="12" fillId="2" borderId="5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7" fillId="3" borderId="6" xfId="1" applyNumberFormat="1" applyFont="1" applyFill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shrinkToFit="1"/>
    </xf>
    <xf numFmtId="0" fontId="35" fillId="5" borderId="89" xfId="0" applyFont="1" applyFill="1" applyBorder="1" applyAlignment="1">
      <alignment horizontal="center" vertical="center" wrapText="1"/>
    </xf>
    <xf numFmtId="178" fontId="6" fillId="0" borderId="53" xfId="0" applyNumberFormat="1" applyFont="1" applyBorder="1" applyAlignment="1">
      <alignment horizontal="center" vertical="center"/>
    </xf>
    <xf numFmtId="178" fontId="6" fillId="0" borderId="53" xfId="0" applyNumberFormat="1" applyFont="1" applyBorder="1" applyAlignment="1">
      <alignment horizontal="center" vertical="center" shrinkToFit="1"/>
    </xf>
    <xf numFmtId="178" fontId="25" fillId="0" borderId="0" xfId="0" applyNumberFormat="1" applyFont="1" applyAlignment="1">
      <alignment vertical="center"/>
    </xf>
    <xf numFmtId="178" fontId="6" fillId="0" borderId="5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85" fontId="24" fillId="0" borderId="82" xfId="0" applyNumberFormat="1" applyFont="1" applyBorder="1" applyAlignment="1">
      <alignment horizontal="center" vertical="center"/>
    </xf>
    <xf numFmtId="41" fontId="3" fillId="0" borderId="11" xfId="0" applyNumberFormat="1" applyFont="1" applyBorder="1" applyAlignment="1">
      <alignment horizontal="center" vertical="center"/>
    </xf>
    <xf numFmtId="42" fontId="7" fillId="5" borderId="3" xfId="0" applyNumberFormat="1" applyFont="1" applyFill="1" applyBorder="1" applyAlignment="1">
      <alignment horizontal="center" vertical="center"/>
    </xf>
    <xf numFmtId="0" fontId="35" fillId="0" borderId="3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shrinkToFit="1"/>
    </xf>
    <xf numFmtId="3" fontId="3" fillId="2" borderId="12" xfId="0" applyNumberFormat="1" applyFont="1" applyFill="1" applyBorder="1" applyAlignment="1">
      <alignment vertical="center" shrinkToFit="1"/>
    </xf>
    <xf numFmtId="0" fontId="3" fillId="2" borderId="12" xfId="0" applyFont="1" applyFill="1" applyBorder="1" applyAlignment="1">
      <alignment vertical="center" shrinkToFit="1"/>
    </xf>
    <xf numFmtId="41" fontId="3" fillId="0" borderId="12" xfId="0" applyNumberFormat="1" applyFont="1" applyBorder="1" applyAlignment="1">
      <alignment horizontal="center" vertical="center"/>
    </xf>
    <xf numFmtId="0" fontId="31" fillId="5" borderId="11" xfId="4" applyFont="1" applyFill="1" applyBorder="1" applyAlignment="1">
      <alignment horizontal="center"/>
    </xf>
    <xf numFmtId="178" fontId="31" fillId="3" borderId="0" xfId="0" applyNumberFormat="1" applyFont="1" applyFill="1" applyAlignment="1">
      <alignment horizontal="center" vertical="center"/>
    </xf>
    <xf numFmtId="178" fontId="24" fillId="3" borderId="0" xfId="0" applyNumberFormat="1" applyFont="1" applyFill="1" applyAlignment="1">
      <alignment horizontal="center" vertical="center"/>
    </xf>
    <xf numFmtId="178" fontId="44" fillId="3" borderId="0" xfId="0" applyNumberFormat="1" applyFont="1" applyFill="1" applyAlignment="1">
      <alignment horizontal="center" vertical="center"/>
    </xf>
    <xf numFmtId="0" fontId="31" fillId="3" borderId="13" xfId="0" applyFont="1" applyFill="1" applyBorder="1"/>
    <xf numFmtId="178" fontId="24" fillId="3" borderId="8" xfId="0" applyNumberFormat="1" applyFont="1" applyFill="1" applyBorder="1" applyAlignment="1">
      <alignment vertical="center"/>
    </xf>
    <xf numFmtId="178" fontId="31" fillId="3" borderId="14" xfId="0" applyNumberFormat="1" applyFont="1" applyFill="1" applyBorder="1" applyAlignment="1">
      <alignment vertical="center"/>
    </xf>
    <xf numFmtId="178" fontId="24" fillId="3" borderId="15" xfId="0" applyNumberFormat="1" applyFont="1" applyFill="1" applyBorder="1" applyAlignment="1">
      <alignment vertical="center"/>
    </xf>
    <xf numFmtId="178" fontId="31" fillId="3" borderId="4" xfId="0" applyNumberFormat="1" applyFont="1" applyFill="1" applyBorder="1" applyAlignment="1">
      <alignment vertical="center"/>
    </xf>
    <xf numFmtId="178" fontId="24" fillId="3" borderId="5" xfId="0" applyNumberFormat="1" applyFont="1" applyFill="1" applyBorder="1" applyAlignment="1">
      <alignment vertical="center"/>
    </xf>
    <xf numFmtId="178" fontId="44" fillId="3" borderId="0" xfId="0" applyNumberFormat="1" applyFont="1" applyFill="1" applyAlignment="1">
      <alignment vertical="center"/>
    </xf>
    <xf numFmtId="178" fontId="24" fillId="3" borderId="0" xfId="0" applyNumberFormat="1" applyFont="1" applyFill="1" applyAlignment="1">
      <alignment vertical="center"/>
    </xf>
    <xf numFmtId="178" fontId="6" fillId="3" borderId="6" xfId="0" applyNumberFormat="1" applyFont="1" applyFill="1" applyBorder="1" applyAlignment="1">
      <alignment horizontal="left" vertical="center" shrinkToFit="1"/>
    </xf>
    <xf numFmtId="41" fontId="12" fillId="3" borderId="3" xfId="0" applyNumberFormat="1" applyFont="1" applyFill="1" applyBorder="1" applyAlignment="1">
      <alignment vertical="center" shrinkToFit="1"/>
    </xf>
    <xf numFmtId="41" fontId="12" fillId="3" borderId="3" xfId="0" applyNumberFormat="1" applyFont="1" applyFill="1" applyBorder="1" applyAlignment="1">
      <alignment horizontal="right" vertical="center" shrinkToFit="1"/>
    </xf>
    <xf numFmtId="41" fontId="12" fillId="3" borderId="11" xfId="0" applyNumberFormat="1" applyFont="1" applyFill="1" applyBorder="1" applyAlignment="1">
      <alignment vertical="center" shrinkToFit="1"/>
    </xf>
    <xf numFmtId="41" fontId="12" fillId="0" borderId="29" xfId="0" applyNumberFormat="1" applyFont="1" applyBorder="1" applyAlignment="1">
      <alignment horizontal="center" vertical="center"/>
    </xf>
    <xf numFmtId="0" fontId="6" fillId="3" borderId="3" xfId="1" applyNumberFormat="1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41" fontId="12" fillId="2" borderId="3" xfId="1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177" fontId="3" fillId="2" borderId="3" xfId="0" applyNumberFormat="1" applyFont="1" applyFill="1" applyBorder="1" applyAlignment="1">
      <alignment vertical="center" shrinkToFit="1"/>
    </xf>
    <xf numFmtId="3" fontId="3" fillId="2" borderId="3" xfId="0" applyNumberFormat="1" applyFont="1" applyFill="1" applyBorder="1" applyAlignment="1">
      <alignment horizontal="center" vertical="center" shrinkToFit="1"/>
    </xf>
    <xf numFmtId="177" fontId="3" fillId="2" borderId="3" xfId="0" applyNumberFormat="1" applyFont="1" applyFill="1" applyBorder="1" applyAlignment="1">
      <alignment horizontal="center" vertical="center" shrinkToFit="1"/>
    </xf>
    <xf numFmtId="3" fontId="3" fillId="2" borderId="3" xfId="0" applyNumberFormat="1" applyFont="1" applyFill="1" applyBorder="1" applyAlignment="1">
      <alignment horizontal="right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right" vertical="center" shrinkToFit="1"/>
    </xf>
    <xf numFmtId="3" fontId="3" fillId="0" borderId="3" xfId="0" applyNumberFormat="1" applyFont="1" applyBorder="1" applyAlignment="1">
      <alignment horizontal="center" vertical="center" shrinkToFit="1"/>
    </xf>
    <xf numFmtId="0" fontId="8" fillId="5" borderId="8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2" borderId="6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vertical="center" shrinkToFit="1"/>
    </xf>
    <xf numFmtId="3" fontId="3" fillId="2" borderId="11" xfId="0" applyNumberFormat="1" applyFont="1" applyFill="1" applyBorder="1" applyAlignment="1">
      <alignment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12" fillId="2" borderId="11" xfId="0" applyFont="1" applyFill="1" applyBorder="1" applyAlignment="1">
      <alignment horizontal="center" vertical="center" shrinkToFit="1"/>
    </xf>
    <xf numFmtId="0" fontId="12" fillId="0" borderId="22" xfId="0" applyFont="1" applyBorder="1" applyAlignment="1">
      <alignment vertical="center"/>
    </xf>
    <xf numFmtId="185" fontId="3" fillId="0" borderId="5" xfId="0" applyNumberFormat="1" applyFont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41" fontId="12" fillId="3" borderId="29" xfId="1" applyFont="1" applyFill="1" applyBorder="1" applyAlignment="1">
      <alignment horizontal="right" vertical="center"/>
    </xf>
    <xf numFmtId="41" fontId="12" fillId="0" borderId="29" xfId="1" applyFont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24" fillId="0" borderId="0" xfId="0" applyFont="1"/>
    <xf numFmtId="41" fontId="12" fillId="0" borderId="5" xfId="0" applyNumberFormat="1" applyFont="1" applyBorder="1" applyAlignment="1">
      <alignment horizontal="center" vertical="center"/>
    </xf>
    <xf numFmtId="41" fontId="6" fillId="3" borderId="35" xfId="1" applyFont="1" applyFill="1" applyBorder="1" applyAlignment="1">
      <alignment vertical="center" shrinkToFit="1"/>
    </xf>
    <xf numFmtId="41" fontId="6" fillId="3" borderId="76" xfId="1" applyFont="1" applyFill="1" applyBorder="1" applyAlignment="1">
      <alignment vertical="center" shrinkToFit="1"/>
    </xf>
    <xf numFmtId="41" fontId="6" fillId="3" borderId="3" xfId="1" applyFont="1" applyFill="1" applyBorder="1" applyAlignment="1">
      <alignment vertical="center" shrinkToFit="1"/>
    </xf>
    <xf numFmtId="41" fontId="6" fillId="3" borderId="31" xfId="1" applyFont="1" applyFill="1" applyBorder="1" applyAlignment="1">
      <alignment vertical="center" shrinkToFit="1"/>
    </xf>
    <xf numFmtId="41" fontId="6" fillId="3" borderId="11" xfId="1" applyFont="1" applyFill="1" applyBorder="1" applyAlignment="1">
      <alignment vertical="center" shrinkToFit="1"/>
    </xf>
    <xf numFmtId="41" fontId="6" fillId="3" borderId="12" xfId="1" applyFont="1" applyFill="1" applyBorder="1" applyAlignment="1">
      <alignment vertical="center" shrinkToFit="1"/>
    </xf>
    <xf numFmtId="9" fontId="12" fillId="0" borderId="15" xfId="0" applyNumberFormat="1" applyFont="1" applyBorder="1" applyAlignment="1">
      <alignment vertical="center"/>
    </xf>
    <xf numFmtId="178" fontId="12" fillId="0" borderId="15" xfId="0" applyNumberFormat="1" applyFont="1" applyBorder="1" applyAlignment="1">
      <alignment vertical="center" shrinkToFit="1"/>
    </xf>
    <xf numFmtId="0" fontId="12" fillId="0" borderId="4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42" fontId="6" fillId="5" borderId="96" xfId="0" applyNumberFormat="1" applyFont="1" applyFill="1" applyBorder="1" applyAlignment="1">
      <alignment horizontal="center" vertical="center" shrinkToFit="1"/>
    </xf>
    <xf numFmtId="41" fontId="6" fillId="6" borderId="6" xfId="1" applyFont="1" applyFill="1" applyBorder="1" applyAlignment="1">
      <alignment horizontal="center" vertical="center" shrinkToFit="1"/>
    </xf>
    <xf numFmtId="0" fontId="6" fillId="4" borderId="3" xfId="0" applyFont="1" applyFill="1" applyBorder="1" applyAlignment="1">
      <alignment horizontal="center" vertical="center"/>
    </xf>
    <xf numFmtId="0" fontId="41" fillId="4" borderId="3" xfId="0" applyFont="1" applyFill="1" applyBorder="1" applyAlignment="1">
      <alignment horizontal="center" vertical="center"/>
    </xf>
    <xf numFmtId="41" fontId="7" fillId="6" borderId="4" xfId="1" applyFont="1" applyFill="1" applyBorder="1" applyAlignment="1">
      <alignment horizontal="center" vertical="center" shrinkToFit="1"/>
    </xf>
    <xf numFmtId="178" fontId="12" fillId="0" borderId="3" xfId="1" applyNumberFormat="1" applyFont="1" applyFill="1" applyBorder="1" applyAlignment="1">
      <alignment horizontal="right" vertical="center"/>
    </xf>
    <xf numFmtId="178" fontId="3" fillId="0" borderId="22" xfId="0" applyNumberFormat="1" applyFont="1" applyBorder="1" applyAlignment="1">
      <alignment vertical="center"/>
    </xf>
    <xf numFmtId="0" fontId="0" fillId="0" borderId="6" xfId="0" applyBorder="1"/>
    <xf numFmtId="0" fontId="3" fillId="0" borderId="6" xfId="0" applyFont="1" applyBorder="1" applyAlignment="1">
      <alignment vertical="center" shrinkToFi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4" fillId="5" borderId="3" xfId="0" applyFont="1" applyFill="1" applyBorder="1" applyAlignment="1">
      <alignment vertical="center"/>
    </xf>
    <xf numFmtId="0" fontId="24" fillId="5" borderId="3" xfId="0" applyFont="1" applyFill="1" applyBorder="1" applyAlignment="1">
      <alignment horizontal="center" vertical="center"/>
    </xf>
    <xf numFmtId="177" fontId="24" fillId="5" borderId="3" xfId="0" applyNumberFormat="1" applyFont="1" applyFill="1" applyBorder="1" applyAlignment="1">
      <alignment horizontal="center" vertical="center"/>
    </xf>
    <xf numFmtId="186" fontId="24" fillId="8" borderId="3" xfId="0" applyNumberFormat="1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178" fontId="24" fillId="9" borderId="3" xfId="0" applyNumberFormat="1" applyFont="1" applyFill="1" applyBorder="1" applyAlignment="1">
      <alignment horizontal="center" vertical="center"/>
    </xf>
    <xf numFmtId="41" fontId="18" fillId="5" borderId="3" xfId="2" applyNumberFormat="1" applyFont="1" applyFill="1" applyBorder="1" applyAlignment="1">
      <alignment horizontal="center" vertical="center"/>
    </xf>
    <xf numFmtId="41" fontId="18" fillId="5" borderId="41" xfId="2" applyNumberFormat="1" applyFont="1" applyFill="1" applyBorder="1" applyAlignment="1">
      <alignment horizontal="center" vertical="center"/>
    </xf>
    <xf numFmtId="178" fontId="6" fillId="5" borderId="8" xfId="0" applyNumberFormat="1" applyFont="1" applyFill="1" applyBorder="1" applyAlignment="1">
      <alignment horizontal="center" vertical="center"/>
    </xf>
    <xf numFmtId="178" fontId="9" fillId="5" borderId="28" xfId="0" applyNumberFormat="1" applyFont="1" applyFill="1" applyBorder="1" applyAlignment="1">
      <alignment horizontal="center" vertical="center"/>
    </xf>
    <xf numFmtId="176" fontId="12" fillId="0" borderId="5" xfId="0" applyNumberFormat="1" applyFont="1" applyBorder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5" borderId="51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6" fillId="5" borderId="47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textRotation="255"/>
    </xf>
    <xf numFmtId="0" fontId="6" fillId="0" borderId="39" xfId="0" applyFont="1" applyBorder="1" applyAlignment="1">
      <alignment horizontal="center" vertical="center"/>
    </xf>
    <xf numFmtId="0" fontId="6" fillId="0" borderId="5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textRotation="255"/>
    </xf>
    <xf numFmtId="0" fontId="6" fillId="0" borderId="29" xfId="0" applyFont="1" applyBorder="1" applyAlignment="1">
      <alignment horizontal="center" vertical="center" textRotation="255"/>
    </xf>
    <xf numFmtId="0" fontId="6" fillId="0" borderId="20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textRotation="255"/>
    </xf>
    <xf numFmtId="0" fontId="6" fillId="0" borderId="57" xfId="0" applyFont="1" applyBorder="1" applyAlignment="1">
      <alignment horizontal="center" vertical="center" textRotation="255"/>
    </xf>
    <xf numFmtId="0" fontId="6" fillId="0" borderId="1" xfId="0" applyFont="1" applyBorder="1" applyAlignment="1">
      <alignment horizontal="center" vertical="center" textRotation="255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0" fontId="14" fillId="5" borderId="0" xfId="0" applyFont="1" applyFill="1" applyAlignment="1">
      <alignment horizontal="center" vertical="center"/>
    </xf>
    <xf numFmtId="0" fontId="3" fillId="0" borderId="45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12" fillId="2" borderId="45" xfId="0" applyFont="1" applyFill="1" applyBorder="1" applyAlignment="1">
      <alignment horizontal="center" vertical="center" shrinkToFit="1"/>
    </xf>
    <xf numFmtId="0" fontId="12" fillId="2" borderId="46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7" fillId="5" borderId="8" xfId="0" applyFont="1" applyFill="1" applyBorder="1" applyAlignment="1">
      <alignment horizontal="center" vertical="center" shrinkToFit="1"/>
    </xf>
    <xf numFmtId="0" fontId="12" fillId="3" borderId="3" xfId="0" applyFont="1" applyFill="1" applyBorder="1" applyAlignment="1">
      <alignment horizontal="center" vertical="center" shrinkToFit="1"/>
    </xf>
    <xf numFmtId="0" fontId="12" fillId="2" borderId="52" xfId="0" applyFont="1" applyFill="1" applyBorder="1" applyAlignment="1">
      <alignment horizontal="center" vertical="center" shrinkToFit="1"/>
    </xf>
    <xf numFmtId="0" fontId="12" fillId="2" borderId="10" xfId="0" applyFont="1" applyFill="1" applyBorder="1" applyAlignment="1">
      <alignment horizontal="center" vertical="center" shrinkToFit="1"/>
    </xf>
    <xf numFmtId="0" fontId="7" fillId="5" borderId="28" xfId="0" applyFont="1" applyFill="1" applyBorder="1" applyAlignment="1">
      <alignment horizontal="center" vertical="center" shrinkToFit="1"/>
    </xf>
    <xf numFmtId="178" fontId="12" fillId="2" borderId="45" xfId="0" applyNumberFormat="1" applyFont="1" applyFill="1" applyBorder="1" applyAlignment="1">
      <alignment vertical="center"/>
    </xf>
    <xf numFmtId="178" fontId="12" fillId="2" borderId="46" xfId="0" applyNumberFormat="1" applyFont="1" applyFill="1" applyBorder="1" applyAlignment="1">
      <alignment vertical="center"/>
    </xf>
    <xf numFmtId="0" fontId="7" fillId="5" borderId="8" xfId="0" applyFont="1" applyFill="1" applyBorder="1" applyAlignment="1">
      <alignment horizontal="center" vertical="center"/>
    </xf>
    <xf numFmtId="178" fontId="12" fillId="2" borderId="3" xfId="0" applyNumberFormat="1" applyFont="1" applyFill="1" applyBorder="1" applyAlignment="1">
      <alignment vertical="center"/>
    </xf>
    <xf numFmtId="0" fontId="12" fillId="2" borderId="7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vertical="center" shrinkToFit="1"/>
    </xf>
    <xf numFmtId="0" fontId="6" fillId="0" borderId="11" xfId="0" applyFont="1" applyBorder="1" applyAlignment="1">
      <alignment horizontal="center" vertical="center" shrinkToFit="1"/>
    </xf>
    <xf numFmtId="0" fontId="12" fillId="3" borderId="41" xfId="0" applyFont="1" applyFill="1" applyBorder="1" applyAlignment="1">
      <alignment horizontal="center" vertical="center" shrinkToFit="1"/>
    </xf>
    <xf numFmtId="0" fontId="12" fillId="3" borderId="42" xfId="0" applyFont="1" applyFill="1" applyBorder="1" applyAlignment="1">
      <alignment horizontal="center" vertical="center" shrinkToFit="1"/>
    </xf>
    <xf numFmtId="178" fontId="12" fillId="2" borderId="41" xfId="0" applyNumberFormat="1" applyFont="1" applyFill="1" applyBorder="1" applyAlignment="1">
      <alignment horizontal="center" vertical="center"/>
    </xf>
    <xf numFmtId="178" fontId="12" fillId="2" borderId="42" xfId="0" applyNumberFormat="1" applyFont="1" applyFill="1" applyBorder="1" applyAlignment="1">
      <alignment horizontal="center" vertical="center"/>
    </xf>
    <xf numFmtId="0" fontId="6" fillId="0" borderId="41" xfId="0" applyFont="1" applyBorder="1" applyAlignment="1">
      <alignment horizontal="center" vertical="center" shrinkToFit="1"/>
    </xf>
    <xf numFmtId="0" fontId="6" fillId="0" borderId="9" xfId="0" applyFont="1" applyBorder="1" applyAlignment="1">
      <alignment horizontal="center" vertical="center" shrinkToFit="1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6" fillId="5" borderId="8" xfId="0" applyFont="1" applyFill="1" applyBorder="1" applyAlignment="1">
      <alignment horizontal="center" vertical="center" shrinkToFit="1"/>
    </xf>
    <xf numFmtId="0" fontId="18" fillId="0" borderId="8" xfId="0" applyFont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2" fillId="0" borderId="3" xfId="0" applyFont="1" applyBorder="1" applyAlignment="1">
      <alignment horizontal="center" vertical="center" shrinkToFit="1"/>
    </xf>
    <xf numFmtId="0" fontId="0" fillId="0" borderId="0" xfId="0"/>
    <xf numFmtId="0" fontId="1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41" fontId="7" fillId="5" borderId="28" xfId="1" applyFont="1" applyFill="1" applyBorder="1" applyAlignment="1">
      <alignment horizontal="center" vertical="center"/>
    </xf>
    <xf numFmtId="41" fontId="7" fillId="5" borderId="11" xfId="1" applyFont="1" applyFill="1" applyBorder="1" applyAlignment="1">
      <alignment horizontal="center" vertical="center"/>
    </xf>
    <xf numFmtId="41" fontId="3" fillId="0" borderId="45" xfId="1" applyFont="1" applyBorder="1" applyAlignment="1">
      <alignment vertical="center"/>
    </xf>
    <xf numFmtId="41" fontId="3" fillId="0" borderId="10" xfId="1" applyFont="1" applyBorder="1" applyAlignment="1">
      <alignment vertical="center"/>
    </xf>
    <xf numFmtId="41" fontId="3" fillId="0" borderId="7" xfId="1" applyFont="1" applyBorder="1" applyAlignment="1">
      <alignment vertical="center"/>
    </xf>
    <xf numFmtId="41" fontId="3" fillId="0" borderId="41" xfId="1" applyFont="1" applyBorder="1" applyAlignment="1">
      <alignment vertical="center"/>
    </xf>
    <xf numFmtId="41" fontId="3" fillId="0" borderId="1" xfId="1" applyFont="1" applyBorder="1" applyAlignment="1">
      <alignment vertical="center"/>
    </xf>
    <xf numFmtId="41" fontId="3" fillId="0" borderId="9" xfId="1" applyFont="1" applyBorder="1" applyAlignment="1">
      <alignment vertical="center"/>
    </xf>
    <xf numFmtId="41" fontId="7" fillId="5" borderId="8" xfId="1" applyFont="1" applyFill="1" applyBorder="1" applyAlignment="1">
      <alignment horizontal="center" vertical="center"/>
    </xf>
    <xf numFmtId="41" fontId="7" fillId="5" borderId="8" xfId="1" applyFont="1" applyFill="1" applyBorder="1" applyAlignment="1">
      <alignment vertical="center"/>
    </xf>
    <xf numFmtId="41" fontId="7" fillId="5" borderId="28" xfId="1" applyFont="1" applyFill="1" applyBorder="1" applyAlignment="1">
      <alignment vertical="center"/>
    </xf>
    <xf numFmtId="41" fontId="7" fillId="5" borderId="3" xfId="1" applyFont="1" applyFill="1" applyBorder="1" applyAlignment="1">
      <alignment horizontal="center" vertical="center"/>
    </xf>
    <xf numFmtId="41" fontId="7" fillId="5" borderId="3" xfId="1" applyFont="1" applyFill="1" applyBorder="1" applyAlignment="1">
      <alignment vertical="center"/>
    </xf>
    <xf numFmtId="41" fontId="7" fillId="5" borderId="11" xfId="1" applyFont="1" applyFill="1" applyBorder="1" applyAlignment="1">
      <alignment vertical="center"/>
    </xf>
    <xf numFmtId="41" fontId="16" fillId="0" borderId="0" xfId="1" applyFont="1" applyAlignment="1">
      <alignment vertical="center"/>
    </xf>
    <xf numFmtId="41" fontId="19" fillId="0" borderId="0" xfId="1" applyFont="1" applyAlignment="1">
      <alignment vertical="center"/>
    </xf>
    <xf numFmtId="41" fontId="7" fillId="5" borderId="43" xfId="1" applyFont="1" applyFill="1" applyBorder="1" applyAlignment="1">
      <alignment horizontal="center" vertical="center"/>
    </xf>
    <xf numFmtId="41" fontId="7" fillId="5" borderId="26" xfId="1" applyFont="1" applyFill="1" applyBorder="1" applyAlignment="1">
      <alignment horizontal="center" vertical="center"/>
    </xf>
    <xf numFmtId="41" fontId="7" fillId="5" borderId="47" xfId="1" applyFont="1" applyFill="1" applyBorder="1" applyAlignment="1">
      <alignment horizontal="center" vertical="center"/>
    </xf>
    <xf numFmtId="41" fontId="7" fillId="5" borderId="36" xfId="1" applyFont="1" applyFill="1" applyBorder="1" applyAlignment="1">
      <alignment horizontal="center" vertical="center"/>
    </xf>
    <xf numFmtId="41" fontId="7" fillId="5" borderId="18" xfId="1" applyFont="1" applyFill="1" applyBorder="1" applyAlignment="1">
      <alignment horizontal="center" vertical="center"/>
    </xf>
    <xf numFmtId="41" fontId="7" fillId="5" borderId="34" xfId="1" applyFont="1" applyFill="1" applyBorder="1" applyAlignment="1">
      <alignment horizontal="center" vertical="center"/>
    </xf>
    <xf numFmtId="41" fontId="7" fillId="5" borderId="29" xfId="1" applyFont="1" applyFill="1" applyBorder="1" applyAlignment="1">
      <alignment horizontal="center" vertical="center"/>
    </xf>
    <xf numFmtId="0" fontId="7" fillId="3" borderId="6" xfId="1" applyNumberFormat="1" applyFont="1" applyFill="1" applyBorder="1" applyAlignment="1">
      <alignment horizontal="center" vertical="center"/>
    </xf>
    <xf numFmtId="41" fontId="3" fillId="0" borderId="3" xfId="1" applyFont="1" applyBorder="1" applyAlignment="1">
      <alignment horizontal="center" vertical="center"/>
    </xf>
    <xf numFmtId="41" fontId="7" fillId="5" borderId="13" xfId="1" applyFont="1" applyFill="1" applyBorder="1" applyAlignment="1">
      <alignment horizontal="center" vertical="center"/>
    </xf>
    <xf numFmtId="41" fontId="7" fillId="5" borderId="6" xfId="1" applyFont="1" applyFill="1" applyBorder="1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6" fillId="5" borderId="31" xfId="0" applyFont="1" applyFill="1" applyBorder="1" applyAlignment="1">
      <alignment horizontal="center" vertical="center"/>
    </xf>
    <xf numFmtId="0" fontId="6" fillId="5" borderId="43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0" fontId="16" fillId="0" borderId="0" xfId="0" applyFont="1"/>
    <xf numFmtId="0" fontId="6" fillId="5" borderId="36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34" xfId="0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41" fontId="6" fillId="3" borderId="45" xfId="1" applyFont="1" applyFill="1" applyBorder="1" applyAlignment="1">
      <alignment horizontal="center" vertical="center" shrinkToFit="1"/>
    </xf>
    <xf numFmtId="41" fontId="6" fillId="3" borderId="46" xfId="1" applyFont="1" applyFill="1" applyBorder="1" applyAlignment="1">
      <alignment horizontal="center" vertical="center" shrinkToFit="1"/>
    </xf>
    <xf numFmtId="0" fontId="6" fillId="3" borderId="26" xfId="1" applyNumberFormat="1" applyFont="1" applyFill="1" applyBorder="1" applyAlignment="1">
      <alignment horizontal="center" vertical="center" shrinkToFit="1"/>
    </xf>
    <xf numFmtId="0" fontId="6" fillId="3" borderId="47" xfId="1" applyNumberFormat="1" applyFont="1" applyFill="1" applyBorder="1" applyAlignment="1">
      <alignment horizontal="center" vertical="center" shrinkToFit="1"/>
    </xf>
    <xf numFmtId="0" fontId="6" fillId="3" borderId="10" xfId="1" applyNumberFormat="1" applyFont="1" applyFill="1" applyBorder="1" applyAlignment="1">
      <alignment horizontal="center" vertical="center" shrinkToFit="1"/>
    </xf>
    <xf numFmtId="0" fontId="6" fillId="3" borderId="46" xfId="1" applyNumberFormat="1" applyFont="1" applyFill="1" applyBorder="1" applyAlignment="1">
      <alignment horizontal="center" vertical="center" shrinkToFit="1"/>
    </xf>
    <xf numFmtId="41" fontId="6" fillId="3" borderId="43" xfId="1" applyFont="1" applyFill="1" applyBorder="1" applyAlignment="1">
      <alignment horizontal="center" vertical="center" shrinkToFit="1"/>
    </xf>
    <xf numFmtId="41" fontId="6" fillId="3" borderId="47" xfId="1" applyFont="1" applyFill="1" applyBorder="1" applyAlignment="1">
      <alignment horizontal="center" vertical="center" shrinkToFit="1"/>
    </xf>
    <xf numFmtId="0" fontId="6" fillId="3" borderId="1" xfId="1" applyNumberFormat="1" applyFont="1" applyFill="1" applyBorder="1" applyAlignment="1">
      <alignment horizontal="center" vertical="center" shrinkToFit="1"/>
    </xf>
    <xf numFmtId="0" fontId="6" fillId="3" borderId="42" xfId="1" applyNumberFormat="1" applyFont="1" applyFill="1" applyBorder="1" applyAlignment="1">
      <alignment horizontal="center" vertical="center" shrinkToFit="1"/>
    </xf>
    <xf numFmtId="41" fontId="6" fillId="3" borderId="41" xfId="1" applyFont="1" applyFill="1" applyBorder="1" applyAlignment="1">
      <alignment horizontal="center" vertical="center" shrinkToFit="1"/>
    </xf>
    <xf numFmtId="41" fontId="6" fillId="3" borderId="42" xfId="1" applyFont="1" applyFill="1" applyBorder="1" applyAlignment="1">
      <alignment horizontal="center" vertical="center" shrinkToFit="1"/>
    </xf>
    <xf numFmtId="41" fontId="25" fillId="0" borderId="0" xfId="1" applyFont="1" applyAlignment="1">
      <alignment vertical="center"/>
    </xf>
    <xf numFmtId="0" fontId="6" fillId="5" borderId="34" xfId="1" applyNumberFormat="1" applyFont="1" applyFill="1" applyBorder="1" applyAlignment="1">
      <alignment horizontal="center" vertical="center" shrinkToFit="1"/>
    </xf>
    <xf numFmtId="0" fontId="12" fillId="5" borderId="34" xfId="0" applyFont="1" applyFill="1" applyBorder="1" applyAlignment="1">
      <alignment horizontal="center" vertical="center"/>
    </xf>
    <xf numFmtId="41" fontId="6" fillId="3" borderId="14" xfId="1" applyFont="1" applyFill="1" applyBorder="1" applyAlignment="1">
      <alignment horizontal="center" vertical="center" shrinkToFit="1"/>
    </xf>
    <xf numFmtId="0" fontId="12" fillId="0" borderId="16" xfId="0" applyFont="1" applyBorder="1" applyAlignment="1">
      <alignment horizontal="center" vertical="center" shrinkToFit="1"/>
    </xf>
    <xf numFmtId="0" fontId="12" fillId="0" borderId="18" xfId="0" applyFont="1" applyBorder="1" applyAlignment="1">
      <alignment horizontal="center" vertical="center" shrinkToFit="1"/>
    </xf>
    <xf numFmtId="0" fontId="6" fillId="5" borderId="48" xfId="0" applyFont="1" applyFill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0" fontId="7" fillId="0" borderId="27" xfId="0" applyFont="1" applyBorder="1" applyAlignment="1">
      <alignment horizontal="left" vertical="center" shrinkToFit="1"/>
    </xf>
    <xf numFmtId="42" fontId="6" fillId="0" borderId="60" xfId="0" applyNumberFormat="1" applyFont="1" applyBorder="1" applyAlignment="1">
      <alignment horizontal="center" vertical="center" shrinkToFit="1"/>
    </xf>
    <xf numFmtId="42" fontId="6" fillId="0" borderId="58" xfId="0" applyNumberFormat="1" applyFont="1" applyBorder="1" applyAlignment="1">
      <alignment horizontal="center" vertical="center" shrinkToFit="1"/>
    </xf>
    <xf numFmtId="0" fontId="6" fillId="5" borderId="17" xfId="1" applyNumberFormat="1" applyFont="1" applyFill="1" applyBorder="1" applyAlignment="1">
      <alignment horizontal="center" vertical="center" shrinkToFit="1"/>
    </xf>
    <xf numFmtId="0" fontId="18" fillId="0" borderId="29" xfId="0" applyFont="1" applyBorder="1" applyAlignment="1">
      <alignment horizontal="center" vertical="center" shrinkToFit="1"/>
    </xf>
    <xf numFmtId="0" fontId="7" fillId="0" borderId="0" xfId="0" applyFont="1" applyAlignment="1">
      <alignment vertical="center" shrinkToFit="1"/>
    </xf>
    <xf numFmtId="0" fontId="6" fillId="5" borderId="48" xfId="0" applyFont="1" applyFill="1" applyBorder="1" applyAlignment="1">
      <alignment horizontal="center" vertical="center" shrinkToFit="1"/>
    </xf>
    <xf numFmtId="0" fontId="18" fillId="0" borderId="49" xfId="0" applyFont="1" applyBorder="1" applyAlignment="1">
      <alignment horizontal="center" vertical="center" shrinkToFit="1"/>
    </xf>
    <xf numFmtId="0" fontId="6" fillId="5" borderId="19" xfId="0" applyFont="1" applyFill="1" applyBorder="1" applyAlignment="1">
      <alignment horizontal="center" vertical="center" shrinkToFit="1"/>
    </xf>
    <xf numFmtId="0" fontId="18" fillId="0" borderId="24" xfId="0" applyFont="1" applyBorder="1" applyAlignment="1">
      <alignment horizontal="center" vertical="center" shrinkToFit="1"/>
    </xf>
    <xf numFmtId="0" fontId="18" fillId="0" borderId="39" xfId="0" applyFont="1" applyBorder="1" applyAlignment="1">
      <alignment horizontal="center" vertical="center" shrinkToFit="1"/>
    </xf>
    <xf numFmtId="0" fontId="18" fillId="0" borderId="50" xfId="0" applyFont="1" applyBorder="1" applyAlignment="1">
      <alignment horizontal="center" vertical="center" shrinkToFit="1"/>
    </xf>
    <xf numFmtId="0" fontId="6" fillId="5" borderId="15" xfId="1" applyNumberFormat="1" applyFont="1" applyFill="1" applyBorder="1" applyAlignment="1">
      <alignment horizontal="center" vertical="center" shrinkToFit="1"/>
    </xf>
    <xf numFmtId="0" fontId="6" fillId="5" borderId="29" xfId="1" applyNumberFormat="1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6" fillId="0" borderId="59" xfId="0" applyFont="1" applyBorder="1" applyAlignment="1">
      <alignment horizontal="center" vertical="center" shrinkToFit="1"/>
    </xf>
    <xf numFmtId="0" fontId="6" fillId="0" borderId="19" xfId="0" applyFont="1" applyBorder="1" applyAlignment="1">
      <alignment horizontal="center" vertical="center" shrinkToFit="1"/>
    </xf>
    <xf numFmtId="0" fontId="6" fillId="0" borderId="24" xfId="0" applyFont="1" applyBorder="1" applyAlignment="1">
      <alignment horizontal="center" vertical="center" shrinkToFit="1"/>
    </xf>
    <xf numFmtId="0" fontId="6" fillId="0" borderId="98" xfId="0" applyFont="1" applyBorder="1" applyAlignment="1">
      <alignment horizontal="center" vertical="center" shrinkToFit="1"/>
    </xf>
    <xf numFmtId="0" fontId="6" fillId="0" borderId="99" xfId="0" applyFont="1" applyBorder="1" applyAlignment="1">
      <alignment horizontal="center" vertical="center" shrinkToFit="1"/>
    </xf>
    <xf numFmtId="0" fontId="6" fillId="0" borderId="100" xfId="0" applyFont="1" applyBorder="1" applyAlignment="1">
      <alignment horizontal="center" vertical="center" shrinkToFit="1"/>
    </xf>
    <xf numFmtId="0" fontId="41" fillId="0" borderId="98" xfId="0" applyFont="1" applyBorder="1" applyAlignment="1">
      <alignment horizontal="center" vertical="center" shrinkToFit="1"/>
    </xf>
    <xf numFmtId="0" fontId="41" fillId="0" borderId="99" xfId="0" applyFont="1" applyBorder="1" applyAlignment="1">
      <alignment horizontal="center" vertical="center" shrinkToFit="1"/>
    </xf>
    <xf numFmtId="0" fontId="41" fillId="0" borderId="100" xfId="0" applyFont="1" applyBorder="1" applyAlignment="1">
      <alignment horizontal="center" vertical="center" shrinkToFit="1"/>
    </xf>
    <xf numFmtId="41" fontId="6" fillId="5" borderId="36" xfId="1" applyFont="1" applyFill="1" applyBorder="1" applyAlignment="1">
      <alignment horizontal="center" vertical="center"/>
    </xf>
    <xf numFmtId="41" fontId="6" fillId="5" borderId="16" xfId="1" applyFont="1" applyFill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41" fontId="6" fillId="3" borderId="52" xfId="1" applyFont="1" applyFill="1" applyBorder="1" applyAlignment="1">
      <alignment horizontal="center" vertical="center" shrinkToFit="1"/>
    </xf>
    <xf numFmtId="41" fontId="6" fillId="3" borderId="53" xfId="1" applyFont="1" applyFill="1" applyBorder="1" applyAlignment="1">
      <alignment horizontal="center" vertical="center" shrinkToFit="1"/>
    </xf>
    <xf numFmtId="41" fontId="12" fillId="5" borderId="36" xfId="1" applyFont="1" applyFill="1" applyBorder="1" applyAlignment="1">
      <alignment horizontal="center" vertical="center"/>
    </xf>
    <xf numFmtId="41" fontId="12" fillId="5" borderId="18" xfId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78" fontId="12" fillId="0" borderId="5" xfId="1" applyNumberFormat="1" applyFont="1" applyFill="1" applyBorder="1" applyAlignment="1">
      <alignment horizontal="center" vertical="center"/>
    </xf>
    <xf numFmtId="41" fontId="12" fillId="0" borderId="0" xfId="0" applyNumberFormat="1" applyFont="1" applyAlignment="1">
      <alignment vertical="center"/>
    </xf>
    <xf numFmtId="0" fontId="18" fillId="0" borderId="0" xfId="0" applyFont="1" applyAlignment="1">
      <alignment vertical="center"/>
    </xf>
    <xf numFmtId="41" fontId="7" fillId="0" borderId="0" xfId="1" applyFont="1" applyAlignment="1">
      <alignment vertical="center"/>
    </xf>
    <xf numFmtId="177" fontId="12" fillId="0" borderId="5" xfId="0" applyNumberFormat="1" applyFont="1" applyBorder="1" applyAlignment="1">
      <alignment horizontal="center" vertical="center"/>
    </xf>
    <xf numFmtId="0" fontId="0" fillId="0" borderId="12" xfId="0" applyBorder="1" applyAlignment="1">
      <alignment vertical="center"/>
    </xf>
    <xf numFmtId="9" fontId="12" fillId="0" borderId="0" xfId="3" applyFont="1" applyBorder="1" applyAlignment="1">
      <alignment horizontal="center" vertical="center"/>
    </xf>
    <xf numFmtId="41" fontId="7" fillId="0" borderId="0" xfId="1" applyFont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6" fillId="0" borderId="39" xfId="0" applyFont="1" applyBorder="1" applyAlignment="1">
      <alignment horizontal="center" vertical="center" shrinkToFit="1"/>
    </xf>
    <xf numFmtId="0" fontId="6" fillId="0" borderId="50" xfId="0" applyFont="1" applyBorder="1" applyAlignment="1">
      <alignment horizontal="center" vertical="center" shrinkToFit="1"/>
    </xf>
    <xf numFmtId="41" fontId="6" fillId="5" borderId="90" xfId="1" applyFont="1" applyFill="1" applyBorder="1" applyAlignment="1">
      <alignment horizontal="center" vertical="center" shrinkToFit="1"/>
    </xf>
    <xf numFmtId="41" fontId="6" fillId="5" borderId="91" xfId="1" applyFont="1" applyFill="1" applyBorder="1" applyAlignment="1">
      <alignment horizontal="center" vertical="center" shrinkToFi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41" fillId="0" borderId="47" xfId="0" applyFont="1" applyBorder="1" applyAlignment="1">
      <alignment horizontal="center" vertical="center"/>
    </xf>
    <xf numFmtId="0" fontId="6" fillId="5" borderId="97" xfId="1" applyNumberFormat="1" applyFont="1" applyFill="1" applyBorder="1" applyAlignment="1">
      <alignment horizontal="center" vertical="center" shrinkToFit="1"/>
    </xf>
    <xf numFmtId="0" fontId="6" fillId="5" borderId="91" xfId="1" applyNumberFormat="1" applyFont="1" applyFill="1" applyBorder="1" applyAlignment="1">
      <alignment horizontal="center" vertical="center" shrinkToFit="1"/>
    </xf>
    <xf numFmtId="0" fontId="6" fillId="5" borderId="27" xfId="0" applyFont="1" applyFill="1" applyBorder="1" applyAlignment="1">
      <alignment horizontal="center" vertical="center"/>
    </xf>
    <xf numFmtId="0" fontId="6" fillId="5" borderId="49" xfId="0" applyFont="1" applyFill="1" applyBorder="1" applyAlignment="1">
      <alignment horizontal="center" vertical="center"/>
    </xf>
    <xf numFmtId="0" fontId="6" fillId="5" borderId="39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50" xfId="0" applyFont="1" applyFill="1" applyBorder="1" applyAlignment="1">
      <alignment horizontal="center" vertical="center"/>
    </xf>
    <xf numFmtId="9" fontId="12" fillId="0" borderId="41" xfId="0" applyNumberFormat="1" applyFont="1" applyBorder="1" applyAlignment="1">
      <alignment horizontal="center" vertical="center"/>
    </xf>
    <xf numFmtId="9" fontId="12" fillId="0" borderId="1" xfId="0" applyNumberFormat="1" applyFont="1" applyBorder="1" applyAlignment="1">
      <alignment horizontal="center" vertical="center"/>
    </xf>
    <xf numFmtId="9" fontId="12" fillId="0" borderId="9" xfId="0" applyNumberFormat="1" applyFont="1" applyBorder="1" applyAlignment="1">
      <alignment horizontal="center" vertical="center"/>
    </xf>
    <xf numFmtId="41" fontId="7" fillId="0" borderId="27" xfId="1" applyFont="1" applyFill="1" applyBorder="1" applyAlignment="1">
      <alignment horizontal="left" vertical="center" wrapText="1"/>
    </xf>
    <xf numFmtId="41" fontId="7" fillId="0" borderId="27" xfId="1" applyFont="1" applyFill="1" applyBorder="1" applyAlignment="1">
      <alignment horizontal="left" vertical="center"/>
    </xf>
    <xf numFmtId="181" fontId="12" fillId="0" borderId="15" xfId="0" applyNumberFormat="1" applyFont="1" applyBorder="1" applyAlignment="1">
      <alignment horizontal="center" vertical="center" shrinkToFit="1"/>
    </xf>
    <xf numFmtId="181" fontId="12" fillId="0" borderId="22" xfId="0" applyNumberFormat="1" applyFont="1" applyBorder="1" applyAlignment="1">
      <alignment horizontal="center" vertical="center" shrinkToFit="1"/>
    </xf>
    <xf numFmtId="181" fontId="12" fillId="0" borderId="92" xfId="0" applyNumberFormat="1" applyFont="1" applyBorder="1" applyAlignment="1">
      <alignment horizontal="center" vertical="center" shrinkToFit="1"/>
    </xf>
    <xf numFmtId="181" fontId="12" fillId="0" borderId="76" xfId="0" applyNumberFormat="1" applyFont="1" applyBorder="1" applyAlignment="1">
      <alignment horizontal="center" vertical="center" shrinkToFit="1"/>
    </xf>
    <xf numFmtId="0" fontId="30" fillId="0" borderId="33" xfId="0" applyFont="1" applyBorder="1" applyAlignment="1">
      <alignment horizontal="right" vertical="center"/>
    </xf>
    <xf numFmtId="0" fontId="12" fillId="0" borderId="4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25" fillId="0" borderId="0" xfId="1" applyNumberFormat="1" applyFont="1" applyAlignment="1">
      <alignment vertical="center"/>
    </xf>
    <xf numFmtId="41" fontId="7" fillId="0" borderId="52" xfId="1" applyFont="1" applyBorder="1" applyAlignment="1">
      <alignment horizontal="center" vertical="center"/>
    </xf>
    <xf numFmtId="41" fontId="7" fillId="0" borderId="10" xfId="1" applyFont="1" applyBorder="1" applyAlignment="1">
      <alignment horizontal="center" vertical="center"/>
    </xf>
    <xf numFmtId="41" fontId="7" fillId="0" borderId="46" xfId="1" applyFont="1" applyBorder="1" applyAlignment="1">
      <alignment horizontal="center" vertical="center"/>
    </xf>
    <xf numFmtId="42" fontId="16" fillId="0" borderId="0" xfId="0" applyNumberFormat="1" applyFont="1" applyAlignment="1">
      <alignment vertical="center"/>
    </xf>
    <xf numFmtId="41" fontId="7" fillId="0" borderId="57" xfId="1" applyFont="1" applyBorder="1" applyAlignment="1">
      <alignment horizontal="center" vertical="center"/>
    </xf>
    <xf numFmtId="41" fontId="7" fillId="0" borderId="29" xfId="1" applyFont="1" applyBorder="1" applyAlignment="1">
      <alignment horizontal="center" vertical="center"/>
    </xf>
    <xf numFmtId="41" fontId="7" fillId="0" borderId="2" xfId="1" applyFont="1" applyBorder="1" applyAlignment="1">
      <alignment horizontal="center" vertical="center"/>
    </xf>
    <xf numFmtId="41" fontId="3" fillId="0" borderId="3" xfId="0" applyNumberFormat="1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41" fontId="3" fillId="0" borderId="41" xfId="0" applyNumberFormat="1" applyFont="1" applyBorder="1" applyAlignment="1">
      <alignment horizontal="right" vertical="center"/>
    </xf>
    <xf numFmtId="41" fontId="3" fillId="0" borderId="1" xfId="0" applyNumberFormat="1" applyFont="1" applyBorder="1" applyAlignment="1">
      <alignment horizontal="right" vertical="center"/>
    </xf>
    <xf numFmtId="41" fontId="3" fillId="0" borderId="42" xfId="0" applyNumberFormat="1" applyFont="1" applyBorder="1" applyAlignment="1">
      <alignment horizontal="right" vertical="center"/>
    </xf>
    <xf numFmtId="41" fontId="3" fillId="0" borderId="55" xfId="0" applyNumberFormat="1" applyFont="1" applyBorder="1" applyAlignment="1">
      <alignment horizontal="right" vertical="center"/>
    </xf>
    <xf numFmtId="0" fontId="1" fillId="0" borderId="33" xfId="0" applyFont="1" applyBorder="1" applyAlignment="1">
      <alignment horizontal="right" vertical="center"/>
    </xf>
    <xf numFmtId="0" fontId="1" fillId="0" borderId="61" xfId="0" applyFont="1" applyBorder="1" applyAlignment="1">
      <alignment horizontal="right" vertical="center"/>
    </xf>
    <xf numFmtId="0" fontId="7" fillId="0" borderId="6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41" fontId="7" fillId="5" borderId="48" xfId="1" applyFont="1" applyFill="1" applyBorder="1" applyAlignment="1">
      <alignment horizontal="center" vertical="center"/>
    </xf>
    <xf numFmtId="0" fontId="17" fillId="5" borderId="27" xfId="0" applyFont="1" applyFill="1" applyBorder="1" applyAlignment="1">
      <alignment horizontal="center" vertical="center"/>
    </xf>
    <xf numFmtId="0" fontId="17" fillId="5" borderId="49" xfId="0" applyFont="1" applyFill="1" applyBorder="1" applyAlignment="1">
      <alignment horizontal="center" vertical="center"/>
    </xf>
    <xf numFmtId="41" fontId="7" fillId="0" borderId="53" xfId="1" applyFont="1" applyBorder="1" applyAlignment="1">
      <alignment horizontal="center" vertical="center"/>
    </xf>
    <xf numFmtId="41" fontId="7" fillId="0" borderId="1" xfId="1" applyFont="1" applyBorder="1" applyAlignment="1">
      <alignment horizontal="center" vertical="center"/>
    </xf>
    <xf numFmtId="41" fontId="7" fillId="0" borderId="3" xfId="1" applyFont="1" applyBorder="1" applyAlignment="1">
      <alignment horizontal="center" vertical="center"/>
    </xf>
    <xf numFmtId="181" fontId="3" fillId="0" borderId="3" xfId="1" applyNumberFormat="1" applyFont="1" applyBorder="1" applyAlignment="1">
      <alignment horizontal="right" vertical="center"/>
    </xf>
    <xf numFmtId="181" fontId="1" fillId="0" borderId="3" xfId="0" applyNumberFormat="1" applyFont="1" applyBorder="1" applyAlignment="1">
      <alignment horizontal="right" vertical="center"/>
    </xf>
    <xf numFmtId="41" fontId="7" fillId="5" borderId="51" xfId="1" applyFont="1" applyFill="1" applyBorder="1" applyAlignment="1">
      <alignment horizontal="center" vertical="center"/>
    </xf>
    <xf numFmtId="0" fontId="17" fillId="5" borderId="56" xfId="0" applyFont="1" applyFill="1" applyBorder="1" applyAlignment="1">
      <alignment horizontal="center" vertical="center"/>
    </xf>
    <xf numFmtId="0" fontId="17" fillId="5" borderId="48" xfId="0" applyFont="1" applyFill="1" applyBorder="1" applyAlignment="1">
      <alignment horizontal="center" vertical="center"/>
    </xf>
    <xf numFmtId="182" fontId="3" fillId="0" borderId="3" xfId="1" applyNumberFormat="1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0" fontId="1" fillId="0" borderId="37" xfId="0" applyFont="1" applyBorder="1" applyAlignment="1">
      <alignment horizontal="right" vertical="center"/>
    </xf>
    <xf numFmtId="0" fontId="7" fillId="0" borderId="6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7" fillId="0" borderId="58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5" borderId="28" xfId="0" applyFont="1" applyFill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59" xfId="0" applyFont="1" applyBorder="1" applyAlignment="1">
      <alignment horizontal="left" vertical="center"/>
    </xf>
    <xf numFmtId="0" fontId="3" fillId="0" borderId="3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0" xfId="0" applyFont="1" applyBorder="1" applyAlignment="1">
      <alignment horizontal="left" vertical="center"/>
    </xf>
    <xf numFmtId="185" fontId="3" fillId="0" borderId="3" xfId="0" applyNumberFormat="1" applyFont="1" applyBorder="1" applyAlignment="1">
      <alignment horizontal="left" vertical="center"/>
    </xf>
    <xf numFmtId="185" fontId="3" fillId="0" borderId="11" xfId="0" applyNumberFormat="1" applyFont="1" applyBorder="1" applyAlignment="1">
      <alignment horizontal="left" vertical="center"/>
    </xf>
    <xf numFmtId="0" fontId="7" fillId="5" borderId="13" xfId="0" applyFont="1" applyFill="1" applyBorder="1" applyAlignment="1">
      <alignment horizontal="center" vertical="center"/>
    </xf>
    <xf numFmtId="0" fontId="3" fillId="0" borderId="4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178" fontId="0" fillId="0" borderId="20" xfId="0" applyNumberFormat="1" applyBorder="1" applyAlignment="1">
      <alignment horizontal="center" vertical="center"/>
    </xf>
    <xf numFmtId="178" fontId="0" fillId="0" borderId="38" xfId="0" applyNumberFormat="1" applyBorder="1" applyAlignment="1">
      <alignment horizontal="center" vertical="center"/>
    </xf>
    <xf numFmtId="178" fontId="0" fillId="0" borderId="19" xfId="0" applyNumberFormat="1" applyBorder="1" applyAlignment="1">
      <alignment horizontal="center" vertical="center"/>
    </xf>
    <xf numFmtId="178" fontId="0" fillId="0" borderId="25" xfId="0" applyNumberFormat="1" applyBorder="1" applyAlignment="1">
      <alignment horizontal="center" vertical="center"/>
    </xf>
    <xf numFmtId="178" fontId="0" fillId="0" borderId="39" xfId="0" applyNumberFormat="1" applyBorder="1" applyAlignment="1">
      <alignment horizontal="center" vertical="center"/>
    </xf>
    <xf numFmtId="178" fontId="0" fillId="0" borderId="40" xfId="0" applyNumberFormat="1" applyBorder="1" applyAlignment="1">
      <alignment horizontal="center" vertical="center"/>
    </xf>
    <xf numFmtId="178" fontId="3" fillId="0" borderId="15" xfId="0" applyNumberFormat="1" applyFont="1" applyBorder="1" applyAlignment="1">
      <alignment horizontal="center" vertical="center"/>
    </xf>
    <xf numFmtId="178" fontId="3" fillId="0" borderId="17" xfId="0" applyNumberFormat="1" applyFont="1" applyBorder="1" applyAlignment="1">
      <alignment horizontal="center" vertical="center"/>
    </xf>
    <xf numFmtId="178" fontId="3" fillId="0" borderId="29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178" fontId="10" fillId="0" borderId="1" xfId="0" applyNumberFormat="1" applyFont="1" applyBorder="1" applyAlignment="1">
      <alignment vertical="center"/>
    </xf>
    <xf numFmtId="178" fontId="10" fillId="0" borderId="9" xfId="0" applyNumberFormat="1" applyFont="1" applyBorder="1" applyAlignment="1">
      <alignment vertical="center"/>
    </xf>
    <xf numFmtId="178" fontId="10" fillId="0" borderId="41" xfId="0" applyNumberFormat="1" applyFont="1" applyBorder="1" applyAlignment="1">
      <alignment vertical="center"/>
    </xf>
    <xf numFmtId="0" fontId="4" fillId="0" borderId="3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178" fontId="3" fillId="3" borderId="45" xfId="0" applyNumberFormat="1" applyFont="1" applyFill="1" applyBorder="1" applyAlignment="1">
      <alignment horizontal="center" vertical="center"/>
    </xf>
    <xf numFmtId="178" fontId="3" fillId="3" borderId="10" xfId="0" applyNumberFormat="1" applyFont="1" applyFill="1" applyBorder="1" applyAlignment="1">
      <alignment horizontal="center" vertical="center"/>
    </xf>
    <xf numFmtId="178" fontId="3" fillId="3" borderId="46" xfId="0" applyNumberFormat="1" applyFont="1" applyFill="1" applyBorder="1" applyAlignment="1">
      <alignment horizontal="center" vertical="center"/>
    </xf>
    <xf numFmtId="178" fontId="7" fillId="5" borderId="43" xfId="0" applyNumberFormat="1" applyFont="1" applyFill="1" applyBorder="1" applyAlignment="1">
      <alignment horizontal="center" vertical="center"/>
    </xf>
    <xf numFmtId="178" fontId="7" fillId="5" borderId="47" xfId="0" applyNumberFormat="1" applyFont="1" applyFill="1" applyBorder="1" applyAlignment="1">
      <alignment horizontal="center" vertical="center"/>
    </xf>
    <xf numFmtId="178" fontId="10" fillId="0" borderId="10" xfId="0" applyNumberFormat="1" applyFont="1" applyBorder="1" applyAlignment="1">
      <alignment vertical="center"/>
    </xf>
    <xf numFmtId="178" fontId="10" fillId="0" borderId="7" xfId="0" applyNumberFormat="1" applyFont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right" vertical="center"/>
    </xf>
    <xf numFmtId="0" fontId="35" fillId="5" borderId="54" xfId="0" applyFont="1" applyFill="1" applyBorder="1" applyAlignment="1">
      <alignment horizontal="center" vertical="center" wrapText="1"/>
    </xf>
    <xf numFmtId="0" fontId="35" fillId="5" borderId="27" xfId="0" applyFont="1" applyFill="1" applyBorder="1" applyAlignment="1">
      <alignment horizontal="center" vertical="center" wrapText="1"/>
    </xf>
    <xf numFmtId="0" fontId="35" fillId="5" borderId="58" xfId="0" applyFont="1" applyFill="1" applyBorder="1" applyAlignment="1">
      <alignment horizontal="center" vertical="center" wrapText="1"/>
    </xf>
    <xf numFmtId="0" fontId="35" fillId="5" borderId="0" xfId="0" applyFont="1" applyFill="1" applyAlignment="1">
      <alignment horizontal="center" vertical="center" wrapText="1"/>
    </xf>
    <xf numFmtId="0" fontId="35" fillId="0" borderId="6" xfId="0" applyFont="1" applyBorder="1" applyAlignment="1">
      <alignment horizontal="center" vertical="center" wrapText="1"/>
    </xf>
    <xf numFmtId="0" fontId="34" fillId="0" borderId="6" xfId="0" applyFont="1" applyBorder="1" applyAlignment="1">
      <alignment vertical="center" wrapText="1"/>
    </xf>
    <xf numFmtId="0" fontId="34" fillId="0" borderId="4" xfId="0" applyFont="1" applyBorder="1" applyAlignment="1">
      <alignment vertical="center" wrapText="1"/>
    </xf>
    <xf numFmtId="0" fontId="33" fillId="5" borderId="67" xfId="0" applyFont="1" applyFill="1" applyBorder="1" applyAlignment="1">
      <alignment horizontal="center" vertical="center" wrapText="1"/>
    </xf>
    <xf numFmtId="0" fontId="34" fillId="5" borderId="63" xfId="0" applyFont="1" applyFill="1" applyBorder="1" applyAlignment="1">
      <alignment horizontal="center" vertical="center" wrapText="1"/>
    </xf>
    <xf numFmtId="0" fontId="34" fillId="5" borderId="64" xfId="0" applyFont="1" applyFill="1" applyBorder="1" applyAlignment="1">
      <alignment horizontal="center" vertical="center" wrapText="1"/>
    </xf>
    <xf numFmtId="0" fontId="8" fillId="5" borderId="67" xfId="0" applyFont="1" applyFill="1" applyBorder="1" applyAlignment="1">
      <alignment horizontal="center" vertical="center" wrapText="1"/>
    </xf>
    <xf numFmtId="0" fontId="8" fillId="5" borderId="63" xfId="0" applyFont="1" applyFill="1" applyBorder="1" applyAlignment="1">
      <alignment horizontal="center" vertical="center" wrapText="1"/>
    </xf>
    <xf numFmtId="0" fontId="8" fillId="5" borderId="64" xfId="0" applyFont="1" applyFill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0" fontId="34" fillId="0" borderId="23" xfId="0" applyFont="1" applyBorder="1" applyAlignment="1">
      <alignment horizontal="center" vertical="center" wrapText="1"/>
    </xf>
    <xf numFmtId="0" fontId="34" fillId="0" borderId="76" xfId="0" applyFont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5" fillId="5" borderId="35" xfId="0" applyFont="1" applyFill="1" applyBorder="1" applyAlignment="1">
      <alignment horizontal="center" vertical="center" wrapText="1"/>
    </xf>
    <xf numFmtId="0" fontId="35" fillId="5" borderId="23" xfId="0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35" fillId="0" borderId="16" xfId="0" applyFont="1" applyBorder="1" applyAlignment="1">
      <alignment horizontal="center" vertical="center" wrapText="1"/>
    </xf>
    <xf numFmtId="0" fontId="35" fillId="0" borderId="18" xfId="0" applyFont="1" applyBorder="1" applyAlignment="1">
      <alignment horizontal="center" vertical="center" wrapText="1"/>
    </xf>
    <xf numFmtId="42" fontId="7" fillId="0" borderId="6" xfId="0" applyNumberFormat="1" applyFont="1" applyBorder="1" applyAlignment="1">
      <alignment horizontal="left" vertical="center"/>
    </xf>
    <xf numFmtId="42" fontId="7" fillId="0" borderId="3" xfId="0" applyNumberFormat="1" applyFont="1" applyBorder="1" applyAlignment="1">
      <alignment horizontal="left" vertical="center"/>
    </xf>
    <xf numFmtId="41" fontId="3" fillId="0" borderId="3" xfId="0" applyNumberFormat="1" applyFont="1" applyBorder="1" applyAlignment="1">
      <alignment horizontal="center" vertical="center"/>
    </xf>
    <xf numFmtId="42" fontId="7" fillId="5" borderId="8" xfId="0" applyNumberFormat="1" applyFont="1" applyFill="1" applyBorder="1" applyAlignment="1">
      <alignment horizontal="center" vertical="center"/>
    </xf>
    <xf numFmtId="42" fontId="7" fillId="5" borderId="13" xfId="0" applyNumberFormat="1" applyFont="1" applyFill="1" applyBorder="1" applyAlignment="1">
      <alignment horizontal="center" vertical="center"/>
    </xf>
    <xf numFmtId="42" fontId="7" fillId="5" borderId="6" xfId="0" applyNumberFormat="1" applyFont="1" applyFill="1" applyBorder="1" applyAlignment="1">
      <alignment horizontal="center" vertical="center"/>
    </xf>
    <xf numFmtId="42" fontId="7" fillId="5" borderId="3" xfId="0" applyNumberFormat="1" applyFont="1" applyFill="1" applyBorder="1" applyAlignment="1">
      <alignment horizontal="center" vertical="center"/>
    </xf>
    <xf numFmtId="41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31" fillId="0" borderId="27" xfId="0" applyFont="1" applyBorder="1" applyAlignment="1">
      <alignment vertical="center" wrapText="1"/>
    </xf>
    <xf numFmtId="0" fontId="31" fillId="0" borderId="0" xfId="0" applyFont="1" applyAlignment="1">
      <alignment vertical="center" wrapText="1"/>
    </xf>
    <xf numFmtId="42" fontId="7" fillId="5" borderId="3" xfId="0" applyNumberFormat="1" applyFont="1" applyFill="1" applyBorder="1" applyAlignment="1">
      <alignment horizontal="center" vertical="center" wrapText="1"/>
    </xf>
    <xf numFmtId="41" fontId="3" fillId="0" borderId="3" xfId="0" applyNumberFormat="1" applyFont="1" applyBorder="1" applyAlignment="1">
      <alignment horizontal="center" vertical="center" wrapText="1"/>
    </xf>
    <xf numFmtId="42" fontId="7" fillId="5" borderId="28" xfId="0" applyNumberFormat="1" applyFont="1" applyFill="1" applyBorder="1" applyAlignment="1">
      <alignment horizontal="center" vertical="center"/>
    </xf>
    <xf numFmtId="41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41" fontId="3" fillId="0" borderId="41" xfId="0" applyNumberFormat="1" applyFont="1" applyBorder="1" applyAlignment="1">
      <alignment horizontal="center" vertical="center"/>
    </xf>
    <xf numFmtId="41" fontId="3" fillId="0" borderId="42" xfId="0" applyNumberFormat="1" applyFont="1" applyBorder="1" applyAlignment="1">
      <alignment horizontal="center" vertical="center"/>
    </xf>
    <xf numFmtId="41" fontId="3" fillId="0" borderId="45" xfId="0" applyNumberFormat="1" applyFont="1" applyBorder="1" applyAlignment="1">
      <alignment horizontal="center" vertical="center"/>
    </xf>
    <xf numFmtId="41" fontId="3" fillId="0" borderId="46" xfId="0" applyNumberFormat="1" applyFont="1" applyBorder="1" applyAlignment="1">
      <alignment horizontal="center" vertical="center"/>
    </xf>
    <xf numFmtId="0" fontId="24" fillId="7" borderId="78" xfId="0" applyFont="1" applyFill="1" applyBorder="1" applyAlignment="1">
      <alignment horizontal="center" vertical="center"/>
    </xf>
    <xf numFmtId="0" fontId="24" fillId="7" borderId="79" xfId="0" applyFont="1" applyFill="1" applyBorder="1" applyAlignment="1">
      <alignment horizontal="center" vertical="center"/>
    </xf>
    <xf numFmtId="0" fontId="24" fillId="0" borderId="84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left" vertical="center"/>
    </xf>
    <xf numFmtId="0" fontId="24" fillId="0" borderId="81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/>
    </xf>
    <xf numFmtId="0" fontId="24" fillId="0" borderId="85" xfId="0" applyFont="1" applyBorder="1" applyAlignment="1">
      <alignment horizontal="center" vertical="center"/>
    </xf>
    <xf numFmtId="0" fontId="24" fillId="0" borderId="86" xfId="0" applyFont="1" applyBorder="1" applyAlignment="1">
      <alignment horizontal="center" vertical="center"/>
    </xf>
    <xf numFmtId="178" fontId="25" fillId="0" borderId="0" xfId="0" applyNumberFormat="1" applyFont="1" applyAlignment="1">
      <alignment vertical="center"/>
    </xf>
    <xf numFmtId="178" fontId="6" fillId="5" borderId="54" xfId="0" applyNumberFormat="1" applyFont="1" applyFill="1" applyBorder="1" applyAlignment="1">
      <alignment horizontal="center" vertical="center"/>
    </xf>
    <xf numFmtId="178" fontId="6" fillId="5" borderId="57" xfId="0" applyNumberFormat="1" applyFont="1" applyFill="1" applyBorder="1" applyAlignment="1">
      <alignment horizontal="center" vertical="center"/>
    </xf>
    <xf numFmtId="178" fontId="6" fillId="5" borderId="48" xfId="0" applyNumberFormat="1" applyFont="1" applyFill="1" applyBorder="1" applyAlignment="1">
      <alignment horizontal="center" vertical="center" shrinkToFit="1"/>
    </xf>
    <xf numFmtId="178" fontId="6" fillId="5" borderId="27" xfId="0" applyNumberFormat="1" applyFont="1" applyFill="1" applyBorder="1" applyAlignment="1">
      <alignment horizontal="center" vertical="center" shrinkToFit="1"/>
    </xf>
    <xf numFmtId="178" fontId="6" fillId="5" borderId="56" xfId="0" applyNumberFormat="1" applyFont="1" applyFill="1" applyBorder="1" applyAlignment="1">
      <alignment horizontal="center" vertical="center" shrinkToFit="1"/>
    </xf>
    <xf numFmtId="178" fontId="6" fillId="5" borderId="43" xfId="0" applyNumberFormat="1" applyFont="1" applyFill="1" applyBorder="1" applyAlignment="1">
      <alignment horizontal="center" vertical="center" shrinkToFit="1"/>
    </xf>
    <xf numFmtId="178" fontId="6" fillId="5" borderId="26" xfId="0" applyNumberFormat="1" applyFont="1" applyFill="1" applyBorder="1" applyAlignment="1">
      <alignment horizontal="center" vertical="center" shrinkToFit="1"/>
    </xf>
    <xf numFmtId="178" fontId="6" fillId="5" borderId="47" xfId="0" applyNumberFormat="1" applyFont="1" applyFill="1" applyBorder="1" applyAlignment="1">
      <alignment horizontal="center" vertical="center" shrinkToFit="1"/>
    </xf>
    <xf numFmtId="178" fontId="3" fillId="0" borderId="0" xfId="0" applyNumberFormat="1" applyFont="1" applyAlignment="1">
      <alignment horizontal="right" vertical="center"/>
    </xf>
    <xf numFmtId="178" fontId="3" fillId="0" borderId="33" xfId="0" applyNumberFormat="1" applyFont="1" applyBorder="1" applyAlignment="1">
      <alignment horizontal="right" vertical="center"/>
    </xf>
    <xf numFmtId="178" fontId="6" fillId="5" borderId="43" xfId="0" applyNumberFormat="1" applyFont="1" applyFill="1" applyBorder="1" applyAlignment="1">
      <alignment horizontal="center" vertical="center"/>
    </xf>
    <xf numFmtId="178" fontId="6" fillId="5" borderId="44" xfId="0" applyNumberFormat="1" applyFont="1" applyFill="1" applyBorder="1" applyAlignment="1">
      <alignment horizontal="center" vertical="center"/>
    </xf>
    <xf numFmtId="178" fontId="6" fillId="5" borderId="51" xfId="0" applyNumberFormat="1" applyFont="1" applyFill="1" applyBorder="1" applyAlignment="1">
      <alignment horizontal="center" vertical="center" shrinkToFit="1"/>
    </xf>
    <xf numFmtId="178" fontId="6" fillId="5" borderId="53" xfId="0" applyNumberFormat="1" applyFont="1" applyFill="1" applyBorder="1" applyAlignment="1">
      <alignment horizontal="center" vertical="center" shrinkToFit="1"/>
    </xf>
    <xf numFmtId="178" fontId="27" fillId="0" borderId="0" xfId="0" applyNumberFormat="1" applyFont="1" applyAlignment="1">
      <alignment vertical="center"/>
    </xf>
    <xf numFmtId="178" fontId="43" fillId="3" borderId="13" xfId="0" applyNumberFormat="1" applyFont="1" applyFill="1" applyBorder="1" applyAlignment="1">
      <alignment horizontal="center" vertical="center"/>
    </xf>
    <xf numFmtId="178" fontId="43" fillId="3" borderId="8" xfId="0" applyNumberFormat="1" applyFont="1" applyFill="1" applyBorder="1" applyAlignment="1">
      <alignment horizontal="center" vertical="center"/>
    </xf>
    <xf numFmtId="178" fontId="43" fillId="3" borderId="28" xfId="0" applyNumberFormat="1" applyFont="1" applyFill="1" applyBorder="1" applyAlignment="1">
      <alignment horizontal="center" vertical="center"/>
    </xf>
    <xf numFmtId="178" fontId="31" fillId="3" borderId="6" xfId="0" applyNumberFormat="1" applyFont="1" applyFill="1" applyBorder="1" applyAlignment="1">
      <alignment horizontal="center" vertical="center"/>
    </xf>
    <xf numFmtId="178" fontId="31" fillId="3" borderId="3" xfId="0" applyNumberFormat="1" applyFont="1" applyFill="1" applyBorder="1" applyAlignment="1">
      <alignment horizontal="center" vertical="center"/>
    </xf>
    <xf numFmtId="178" fontId="24" fillId="3" borderId="3" xfId="0" applyNumberFormat="1" applyFont="1" applyFill="1" applyBorder="1" applyAlignment="1">
      <alignment horizontal="center" vertical="center"/>
    </xf>
    <xf numFmtId="178" fontId="24" fillId="3" borderId="11" xfId="0" applyNumberFormat="1" applyFont="1" applyFill="1" applyBorder="1" applyAlignment="1">
      <alignment horizontal="center" vertical="center"/>
    </xf>
    <xf numFmtId="178" fontId="31" fillId="3" borderId="53" xfId="0" applyNumberFormat="1" applyFont="1" applyFill="1" applyBorder="1" applyAlignment="1">
      <alignment horizontal="center" vertical="center"/>
    </xf>
    <xf numFmtId="178" fontId="31" fillId="3" borderId="1" xfId="0" applyNumberFormat="1" applyFont="1" applyFill="1" applyBorder="1" applyAlignment="1">
      <alignment horizontal="center" vertical="center"/>
    </xf>
    <xf numFmtId="178" fontId="31" fillId="3" borderId="42" xfId="0" applyNumberFormat="1" applyFont="1" applyFill="1" applyBorder="1" applyAlignment="1">
      <alignment horizontal="center" vertical="center"/>
    </xf>
    <xf numFmtId="178" fontId="24" fillId="3" borderId="41" xfId="0" applyNumberFormat="1" applyFont="1" applyFill="1" applyBorder="1" applyAlignment="1">
      <alignment horizontal="center" vertical="center"/>
    </xf>
    <xf numFmtId="178" fontId="24" fillId="3" borderId="1" xfId="0" applyNumberFormat="1" applyFont="1" applyFill="1" applyBorder="1" applyAlignment="1">
      <alignment horizontal="center" vertical="center"/>
    </xf>
    <xf numFmtId="178" fontId="24" fillId="3" borderId="9" xfId="0" applyNumberFormat="1" applyFont="1" applyFill="1" applyBorder="1" applyAlignment="1">
      <alignment horizontal="center" vertical="center"/>
    </xf>
    <xf numFmtId="178" fontId="31" fillId="3" borderId="14" xfId="0" applyNumberFormat="1" applyFont="1" applyFill="1" applyBorder="1" applyAlignment="1">
      <alignment horizontal="center" vertical="center"/>
    </xf>
    <xf numFmtId="178" fontId="31" fillId="3" borderId="15" xfId="0" applyNumberFormat="1" applyFont="1" applyFill="1" applyBorder="1" applyAlignment="1">
      <alignment horizontal="center" vertical="center"/>
    </xf>
    <xf numFmtId="178" fontId="24" fillId="3" borderId="15" xfId="0" applyNumberFormat="1" applyFont="1" applyFill="1" applyBorder="1" applyAlignment="1">
      <alignment horizontal="center" vertical="center"/>
    </xf>
    <xf numFmtId="178" fontId="24" fillId="3" borderId="22" xfId="0" applyNumberFormat="1" applyFont="1" applyFill="1" applyBorder="1" applyAlignment="1">
      <alignment horizontal="center" vertical="center"/>
    </xf>
    <xf numFmtId="178" fontId="31" fillId="3" borderId="4" xfId="0" applyNumberFormat="1" applyFont="1" applyFill="1" applyBorder="1" applyAlignment="1">
      <alignment horizontal="center" vertical="center"/>
    </xf>
    <xf numFmtId="178" fontId="31" fillId="3" borderId="5" xfId="0" applyNumberFormat="1" applyFont="1" applyFill="1" applyBorder="1" applyAlignment="1">
      <alignment horizontal="center" vertical="center"/>
    </xf>
    <xf numFmtId="178" fontId="24" fillId="3" borderId="5" xfId="0" applyNumberFormat="1" applyFont="1" applyFill="1" applyBorder="1" applyAlignment="1">
      <alignment horizontal="center" vertical="center"/>
    </xf>
    <xf numFmtId="178" fontId="24" fillId="3" borderId="12" xfId="0" applyNumberFormat="1" applyFont="1" applyFill="1" applyBorder="1" applyAlignment="1">
      <alignment horizontal="center" vertical="center"/>
    </xf>
    <xf numFmtId="0" fontId="6" fillId="5" borderId="51" xfId="0" applyFont="1" applyFill="1" applyBorder="1" applyAlignment="1">
      <alignment horizontal="center" vertical="center" shrinkToFit="1"/>
    </xf>
    <xf numFmtId="0" fontId="6" fillId="5" borderId="53" xfId="0" applyFont="1" applyFill="1" applyBorder="1" applyAlignment="1">
      <alignment horizontal="center" vertical="center" shrinkToFit="1"/>
    </xf>
    <xf numFmtId="0" fontId="3" fillId="0" borderId="27" xfId="0" applyFont="1" applyBorder="1" applyAlignment="1">
      <alignment vertical="center"/>
    </xf>
    <xf numFmtId="0" fontId="0" fillId="0" borderId="27" xfId="0" applyBorder="1" applyAlignme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0" fillId="0" borderId="33" xfId="0" applyBorder="1" applyAlignment="1">
      <alignment horizontal="right" vertical="center"/>
    </xf>
    <xf numFmtId="0" fontId="6" fillId="5" borderId="6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24" fillId="0" borderId="65" xfId="0" applyFont="1" applyBorder="1" applyAlignment="1">
      <alignment horizontal="justify" vertical="center" wrapText="1"/>
    </xf>
    <xf numFmtId="0" fontId="24" fillId="0" borderId="66" xfId="0" applyFont="1" applyBorder="1" applyAlignment="1">
      <alignment horizontal="justify" vertical="center" wrapText="1"/>
    </xf>
  </cellXfs>
  <cellStyles count="5">
    <cellStyle name="백분율" xfId="3" builtinId="5"/>
    <cellStyle name="쉼표 [0]" xfId="1" builtinId="6"/>
    <cellStyle name="표준" xfId="0" builtinId="0"/>
    <cellStyle name="표준 2" xfId="4" xr:uid="{00000000-0005-0000-0000-000003000000}"/>
    <cellStyle name="표준_11. 감가상각비계획" xfId="2" xr:uid="{00000000-0005-0000-0000-000004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6"/>
  <sheetViews>
    <sheetView zoomScaleNormal="100" zoomScaleSheetLayoutView="70" workbookViewId="0">
      <selection activeCell="I9" sqref="I9"/>
    </sheetView>
  </sheetViews>
  <sheetFormatPr defaultColWidth="8.88671875" defaultRowHeight="13.5"/>
  <cols>
    <col min="1" max="16384" width="8.88671875" style="34"/>
  </cols>
  <sheetData>
    <row r="1" spans="2:10" ht="17.25" customHeight="1">
      <c r="B1" s="474"/>
      <c r="C1" s="474"/>
      <c r="D1" s="474"/>
      <c r="E1" s="474"/>
      <c r="F1" s="474"/>
      <c r="G1" s="474"/>
      <c r="H1" s="474"/>
    </row>
    <row r="2" spans="2:10" ht="13.5" customHeight="1">
      <c r="B2" s="475" t="s">
        <v>0</v>
      </c>
      <c r="C2" s="475"/>
      <c r="D2" s="475"/>
      <c r="E2" s="475"/>
      <c r="F2" s="475"/>
      <c r="G2" s="475"/>
      <c r="H2" s="475"/>
      <c r="I2" s="475"/>
      <c r="J2" s="475"/>
    </row>
    <row r="3" spans="2:10" ht="13.5" customHeight="1">
      <c r="B3" s="475"/>
      <c r="C3" s="475"/>
      <c r="D3" s="475"/>
      <c r="E3" s="475"/>
      <c r="F3" s="475"/>
      <c r="G3" s="475"/>
      <c r="H3" s="475"/>
      <c r="I3" s="475"/>
      <c r="J3" s="475"/>
    </row>
    <row r="4" spans="2:10" ht="13.5" customHeight="1">
      <c r="B4" s="475"/>
      <c r="C4" s="475"/>
      <c r="D4" s="475"/>
      <c r="E4" s="475"/>
      <c r="F4" s="475"/>
      <c r="G4" s="475"/>
      <c r="H4" s="475"/>
      <c r="I4" s="475"/>
      <c r="J4" s="475"/>
    </row>
    <row r="5" spans="2:10" ht="16.5" customHeight="1"/>
    <row r="6" spans="2:10" ht="23.25" customHeight="1">
      <c r="B6" s="90"/>
      <c r="C6" s="90"/>
      <c r="D6" s="90"/>
      <c r="E6" s="90"/>
      <c r="F6" s="90"/>
      <c r="G6" s="90"/>
      <c r="H6"/>
      <c r="I6"/>
    </row>
    <row r="7" spans="2:10" ht="15.75" customHeight="1">
      <c r="B7" s="181"/>
      <c r="C7" s="90"/>
      <c r="D7" s="181"/>
      <c r="E7" s="90"/>
      <c r="F7" s="181"/>
      <c r="G7" s="181"/>
      <c r="H7" s="181"/>
    </row>
    <row r="8" spans="2:10" ht="21.75" customHeight="1">
      <c r="B8" s="90"/>
      <c r="C8" s="181"/>
      <c r="D8" s="90"/>
      <c r="E8" s="90" t="s">
        <v>1</v>
      </c>
      <c r="F8" s="90"/>
      <c r="G8" s="90"/>
    </row>
    <row r="9" spans="2:10" ht="16.5" customHeight="1">
      <c r="B9" s="90"/>
      <c r="C9" s="181"/>
      <c r="D9" s="90"/>
      <c r="E9" s="181"/>
      <c r="F9" s="181"/>
      <c r="G9" s="181"/>
    </row>
    <row r="10" spans="2:10" ht="20.25" customHeight="1">
      <c r="B10" s="90"/>
      <c r="C10" s="181"/>
      <c r="D10" s="90"/>
      <c r="E10" s="90" t="s">
        <v>2</v>
      </c>
      <c r="F10" s="181"/>
      <c r="G10" s="181"/>
    </row>
    <row r="11" spans="2:10" ht="16.5" customHeight="1">
      <c r="B11" s="90"/>
      <c r="C11" s="181"/>
      <c r="D11" s="90"/>
      <c r="E11" s="90"/>
      <c r="F11" s="181"/>
      <c r="G11" s="181"/>
    </row>
    <row r="12" spans="2:10" ht="23.25" customHeight="1">
      <c r="B12" s="90"/>
      <c r="C12" s="90"/>
      <c r="D12" s="90"/>
      <c r="E12" s="90" t="s">
        <v>3</v>
      </c>
      <c r="F12" s="181"/>
      <c r="G12" s="181"/>
    </row>
    <row r="13" spans="2:10" ht="16.5" customHeight="1">
      <c r="B13" s="90"/>
      <c r="C13" s="181"/>
      <c r="D13" s="90"/>
      <c r="E13" s="90"/>
      <c r="F13" s="181"/>
      <c r="G13" s="181"/>
    </row>
    <row r="14" spans="2:10" ht="21" customHeight="1">
      <c r="B14" s="90"/>
      <c r="C14" s="90"/>
      <c r="D14" s="90"/>
      <c r="E14" s="90" t="s">
        <v>4</v>
      </c>
      <c r="F14" s="90"/>
      <c r="G14" s="90"/>
    </row>
    <row r="15" spans="2:10" ht="16.5" customHeight="1">
      <c r="B15" s="90"/>
      <c r="C15" s="90"/>
      <c r="D15" s="90"/>
      <c r="E15" s="90"/>
      <c r="F15" s="181"/>
      <c r="G15" s="181"/>
    </row>
    <row r="16" spans="2:10" ht="24" customHeight="1">
      <c r="B16" s="90"/>
      <c r="C16" s="90"/>
      <c r="D16" s="90"/>
      <c r="E16" s="90" t="s">
        <v>5</v>
      </c>
      <c r="F16" s="90"/>
      <c r="G16" s="90"/>
      <c r="J16" s="332"/>
    </row>
    <row r="17" spans="2:10" ht="12.75" customHeight="1">
      <c r="B17" s="181"/>
      <c r="C17" s="90"/>
      <c r="D17" s="181"/>
      <c r="E17" s="90"/>
      <c r="F17" s="90"/>
      <c r="G17" s="90"/>
      <c r="J17" s="332"/>
    </row>
    <row r="18" spans="2:10" ht="24" customHeight="1">
      <c r="B18" s="90"/>
      <c r="C18" s="181"/>
      <c r="D18" s="90"/>
      <c r="E18" s="90" t="s">
        <v>6</v>
      </c>
      <c r="F18" s="90"/>
      <c r="G18" s="90"/>
      <c r="J18" s="332"/>
    </row>
    <row r="19" spans="2:10" ht="14.25" customHeight="1">
      <c r="B19" s="181"/>
      <c r="C19" s="90"/>
      <c r="D19" s="181"/>
      <c r="E19" s="181"/>
      <c r="F19" s="181"/>
      <c r="G19" s="181"/>
    </row>
    <row r="20" spans="2:10" ht="24.75" customHeight="1">
      <c r="B20" s="90"/>
      <c r="C20" s="90"/>
      <c r="D20" s="90"/>
      <c r="E20" s="90" t="s">
        <v>7</v>
      </c>
      <c r="F20" s="181"/>
      <c r="G20" s="181"/>
    </row>
    <row r="21" spans="2:10" ht="14.25" customHeight="1">
      <c r="B21" s="181"/>
      <c r="C21" s="181"/>
      <c r="D21" s="181"/>
      <c r="E21" s="181"/>
      <c r="F21" s="181"/>
      <c r="G21" s="181"/>
    </row>
    <row r="22" spans="2:10" ht="22.5" customHeight="1">
      <c r="B22" s="90"/>
      <c r="C22" s="181"/>
      <c r="D22" s="90"/>
      <c r="E22" s="90" t="s">
        <v>8</v>
      </c>
      <c r="F22" s="90"/>
      <c r="G22" s="90"/>
    </row>
    <row r="23" spans="2:10" ht="16.5" customHeight="1">
      <c r="B23" s="181"/>
      <c r="C23" s="181"/>
      <c r="D23" s="181"/>
      <c r="E23" s="181"/>
      <c r="F23" s="181"/>
      <c r="G23" s="181"/>
    </row>
    <row r="24" spans="2:10" ht="21.75" customHeight="1">
      <c r="B24" s="90"/>
      <c r="C24" s="90"/>
      <c r="D24" s="90"/>
      <c r="E24" s="90" t="s">
        <v>9</v>
      </c>
      <c r="F24" s="181"/>
      <c r="G24" s="181"/>
    </row>
    <row r="25" spans="2:10" ht="16.5" customHeight="1">
      <c r="B25" s="181"/>
      <c r="C25" s="181"/>
      <c r="D25" s="181"/>
      <c r="E25" s="181"/>
      <c r="F25" s="181"/>
      <c r="G25" s="181"/>
    </row>
    <row r="26" spans="2:10" ht="22.5" customHeight="1">
      <c r="B26" s="90"/>
      <c r="C26" s="90"/>
      <c r="D26" s="90"/>
      <c r="E26" s="90" t="s">
        <v>10</v>
      </c>
      <c r="F26" s="90"/>
      <c r="G26" s="90"/>
    </row>
    <row r="27" spans="2:10" ht="14.25" customHeight="1">
      <c r="B27" s="181"/>
      <c r="C27" s="181"/>
      <c r="D27" s="181"/>
      <c r="E27" s="181"/>
      <c r="F27" s="181"/>
      <c r="G27" s="181"/>
    </row>
    <row r="28" spans="2:10" ht="19.5" customHeight="1">
      <c r="B28" s="90"/>
      <c r="C28" s="90"/>
      <c r="D28" s="90"/>
      <c r="E28" s="90" t="s">
        <v>11</v>
      </c>
      <c r="F28" s="90"/>
      <c r="G28" s="90"/>
    </row>
    <row r="29" spans="2:10" ht="14.25" customHeight="1">
      <c r="B29" s="90"/>
      <c r="C29" s="181"/>
      <c r="D29" s="90"/>
      <c r="E29" s="181"/>
      <c r="F29" s="181"/>
      <c r="G29" s="181"/>
    </row>
    <row r="30" spans="2:10" ht="21" customHeight="1">
      <c r="B30" s="90"/>
      <c r="C30" s="90"/>
      <c r="D30" s="90"/>
      <c r="E30" s="90" t="s">
        <v>12</v>
      </c>
      <c r="F30" s="90"/>
      <c r="G30" s="90"/>
    </row>
    <row r="31" spans="2:10" ht="15" customHeight="1">
      <c r="B31" s="90"/>
      <c r="C31" s="181"/>
      <c r="D31" s="181"/>
      <c r="E31" s="90"/>
      <c r="F31" s="181"/>
      <c r="G31" s="181"/>
    </row>
    <row r="32" spans="2:10" ht="23.25" customHeight="1">
      <c r="B32" s="90"/>
      <c r="C32" s="90"/>
      <c r="D32" s="90"/>
      <c r="E32" s="90" t="s">
        <v>13</v>
      </c>
      <c r="F32" s="90"/>
      <c r="G32" s="90"/>
    </row>
    <row r="33" spans="2:7" ht="15" customHeight="1">
      <c r="B33" s="181"/>
      <c r="C33" s="181"/>
      <c r="D33" s="181"/>
      <c r="E33" s="90"/>
      <c r="F33" s="181"/>
      <c r="G33" s="181"/>
    </row>
    <row r="34" spans="2:7" ht="24" customHeight="1">
      <c r="B34" s="90"/>
      <c r="C34" s="90"/>
      <c r="D34" s="90"/>
      <c r="E34" s="90" t="s">
        <v>14</v>
      </c>
      <c r="F34" s="90"/>
      <c r="G34" s="90"/>
    </row>
    <row r="35" spans="2:7" ht="15" customHeight="1">
      <c r="E35" s="181"/>
      <c r="F35" s="181"/>
      <c r="G35" s="181"/>
    </row>
    <row r="36" spans="2:7" ht="22.5">
      <c r="E36" s="90" t="s">
        <v>15</v>
      </c>
      <c r="F36" s="90"/>
      <c r="G36" s="90"/>
    </row>
  </sheetData>
  <mergeCells count="2">
    <mergeCell ref="B1:H1"/>
    <mergeCell ref="B2:J4"/>
  </mergeCells>
  <phoneticPr fontId="2" type="noConversion"/>
  <pageMargins left="0.7" right="0.7" top="0.75" bottom="0.75" header="0.3" footer="0.3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J59"/>
  <sheetViews>
    <sheetView showGridLines="0" topLeftCell="A10" zoomScale="85" zoomScaleNormal="85" zoomScaleSheetLayoutView="100" workbookViewId="0">
      <selection activeCell="B3" sqref="B3"/>
    </sheetView>
  </sheetViews>
  <sheetFormatPr defaultColWidth="8.88671875" defaultRowHeight="13.5"/>
  <cols>
    <col min="1" max="1" width="5.5546875" style="5" customWidth="1"/>
    <col min="2" max="8" width="17.109375" style="5" customWidth="1"/>
    <col min="9" max="9" width="8.88671875" style="5"/>
    <col min="10" max="10" width="17.109375" style="5" customWidth="1"/>
    <col min="11" max="16384" width="8.88671875" style="5"/>
  </cols>
  <sheetData>
    <row r="1" spans="2:8" ht="15" customHeight="1"/>
    <row r="2" spans="2:8" s="58" customFormat="1" ht="39.950000000000003" customHeight="1">
      <c r="B2" s="446" t="s">
        <v>16</v>
      </c>
      <c r="C2" s="446"/>
      <c r="D2" s="446"/>
      <c r="E2" s="446"/>
      <c r="F2" s="446"/>
      <c r="G2" s="446"/>
      <c r="H2" s="446"/>
    </row>
    <row r="3" spans="2:8" s="58" customFormat="1" ht="20.100000000000001" customHeight="1">
      <c r="B3" s="27"/>
      <c r="C3" s="34"/>
      <c r="D3" s="34"/>
      <c r="E3" s="34"/>
      <c r="F3" s="34"/>
      <c r="G3" s="34"/>
      <c r="H3" s="34"/>
    </row>
    <row r="4" spans="2:8" s="58" customFormat="1" ht="20.100000000000001" customHeight="1">
      <c r="B4" s="308" t="s">
        <v>17</v>
      </c>
      <c r="C4" s="59"/>
      <c r="D4" s="59"/>
      <c r="E4" s="59"/>
      <c r="F4" s="59"/>
      <c r="G4" s="59"/>
      <c r="H4" s="59"/>
    </row>
    <row r="5" spans="2:8" s="58" customFormat="1" ht="20.100000000000001" customHeight="1">
      <c r="B5" s="27"/>
      <c r="C5" s="59"/>
      <c r="D5" s="59"/>
      <c r="E5" s="59"/>
      <c r="F5" s="59"/>
      <c r="G5" s="59"/>
      <c r="H5" s="59"/>
    </row>
    <row r="6" spans="2:8" ht="20.100000000000001" customHeight="1">
      <c r="B6" s="53" t="s">
        <v>18</v>
      </c>
      <c r="C6" s="28"/>
      <c r="D6" s="29"/>
      <c r="E6" s="28"/>
      <c r="F6" s="28"/>
      <c r="G6" s="28"/>
      <c r="H6" s="28"/>
    </row>
    <row r="7" spans="2:8" ht="20.100000000000001" customHeight="1" thickBot="1">
      <c r="B7" s="28"/>
      <c r="C7" s="28"/>
      <c r="D7" s="28"/>
      <c r="E7" s="28"/>
      <c r="F7" s="28"/>
      <c r="G7" s="28"/>
      <c r="H7" s="28"/>
    </row>
    <row r="8" spans="2:8" ht="20.100000000000001" customHeight="1">
      <c r="B8" s="304" t="s">
        <v>19</v>
      </c>
      <c r="C8" s="341" t="s">
        <v>20</v>
      </c>
      <c r="D8" s="341" t="s">
        <v>21</v>
      </c>
      <c r="E8" s="341" t="s">
        <v>22</v>
      </c>
      <c r="F8" s="502" t="s">
        <v>23</v>
      </c>
      <c r="G8" s="503"/>
      <c r="H8" s="342" t="s">
        <v>24</v>
      </c>
    </row>
    <row r="9" spans="2:8" ht="20.100000000000001" customHeight="1">
      <c r="B9" s="307"/>
      <c r="C9" s="382"/>
      <c r="D9" s="383"/>
      <c r="E9" s="383"/>
      <c r="F9" s="504"/>
      <c r="G9" s="505"/>
      <c r="H9" s="400"/>
    </row>
    <row r="10" spans="2:8" ht="20.100000000000001" customHeight="1" thickBot="1">
      <c r="B10" s="305"/>
      <c r="C10" s="343"/>
      <c r="D10" s="306"/>
      <c r="E10" s="306"/>
      <c r="F10" s="478"/>
      <c r="G10" s="479"/>
      <c r="H10" s="344"/>
    </row>
    <row r="11" spans="2:8" ht="20.100000000000001" customHeight="1"/>
    <row r="12" spans="2:8" ht="20.100000000000001" customHeight="1">
      <c r="B12" s="500" t="s">
        <v>25</v>
      </c>
      <c r="C12" s="500"/>
      <c r="D12" s="28"/>
      <c r="E12" s="28"/>
      <c r="F12" s="28"/>
      <c r="G12" s="28"/>
      <c r="H12" s="28"/>
    </row>
    <row r="13" spans="2:8" ht="20.100000000000001" customHeight="1" thickBot="1">
      <c r="B13" s="28"/>
      <c r="C13" s="28"/>
      <c r="D13" s="29"/>
      <c r="E13" s="28"/>
      <c r="F13" s="28"/>
      <c r="G13" s="28"/>
    </row>
    <row r="14" spans="2:8" ht="20.100000000000001" customHeight="1">
      <c r="B14" s="182" t="s">
        <v>19</v>
      </c>
      <c r="C14" s="339" t="s">
        <v>26</v>
      </c>
      <c r="D14" s="339" t="s">
        <v>27</v>
      </c>
      <c r="E14" s="339" t="s">
        <v>22</v>
      </c>
      <c r="F14" s="339" t="s">
        <v>28</v>
      </c>
      <c r="G14" s="339" t="s">
        <v>29</v>
      </c>
      <c r="H14" s="340" t="s">
        <v>24</v>
      </c>
    </row>
    <row r="15" spans="2:8" ht="20.100000000000001" customHeight="1">
      <c r="B15" s="396"/>
      <c r="C15" s="384"/>
      <c r="D15" s="384"/>
      <c r="E15" s="385"/>
      <c r="F15" s="384"/>
      <c r="G15" s="384"/>
      <c r="H15" s="399"/>
    </row>
    <row r="16" spans="2:8" ht="20.100000000000001" customHeight="1" thickBot="1">
      <c r="B16" s="1"/>
      <c r="C16" s="2"/>
      <c r="D16" s="2"/>
      <c r="E16" s="198"/>
      <c r="F16" s="2"/>
      <c r="G16" s="2"/>
      <c r="H16" s="360"/>
    </row>
    <row r="17" spans="2:10" ht="20.100000000000001" customHeight="1">
      <c r="C17" s="31"/>
      <c r="D17" s="30"/>
      <c r="E17" s="32"/>
      <c r="F17" s="30"/>
      <c r="G17" s="30"/>
      <c r="H17" s="31"/>
    </row>
    <row r="18" spans="2:10" ht="20.100000000000001" customHeight="1">
      <c r="B18" s="501" t="s">
        <v>30</v>
      </c>
      <c r="C18" s="474"/>
      <c r="D18" s="30"/>
      <c r="E18" s="32"/>
      <c r="F18" s="30"/>
      <c r="G18" s="30"/>
      <c r="H18" s="31"/>
    </row>
    <row r="19" spans="2:10" ht="20.100000000000001" customHeight="1" thickBot="1">
      <c r="B19" s="33"/>
      <c r="C19" s="31"/>
      <c r="D19" s="30"/>
      <c r="E19" s="32"/>
      <c r="F19" s="30"/>
      <c r="G19" s="30"/>
      <c r="H19" s="31"/>
    </row>
    <row r="20" spans="2:10" ht="20.100000000000001" customHeight="1">
      <c r="B20" s="182" t="s">
        <v>31</v>
      </c>
      <c r="C20" s="339" t="s">
        <v>32</v>
      </c>
      <c r="D20" s="339" t="s">
        <v>33</v>
      </c>
      <c r="E20" s="339" t="s">
        <v>22</v>
      </c>
      <c r="F20" s="339" t="s">
        <v>34</v>
      </c>
      <c r="G20" s="339" t="s">
        <v>35</v>
      </c>
      <c r="H20" s="340" t="s">
        <v>24</v>
      </c>
    </row>
    <row r="21" spans="2:10" ht="20.100000000000001" customHeight="1">
      <c r="B21" s="396"/>
      <c r="C21" s="384"/>
      <c r="D21" s="386"/>
      <c r="E21" s="385"/>
      <c r="F21" s="384"/>
      <c r="G21" s="384"/>
      <c r="H21" s="399"/>
      <c r="J21" s="5"/>
    </row>
    <row r="22" spans="2:10" ht="20.100000000000001" customHeight="1" thickBot="1">
      <c r="B22" s="1"/>
      <c r="C22" s="2"/>
      <c r="D22" s="3"/>
      <c r="E22" s="198"/>
      <c r="F22" s="2"/>
      <c r="G22" s="2"/>
      <c r="H22" s="360"/>
    </row>
    <row r="23" spans="2:10" ht="20.100000000000001" customHeight="1">
      <c r="B23" s="30"/>
      <c r="C23" s="31"/>
      <c r="D23" s="30"/>
      <c r="E23" s="32"/>
      <c r="F23" s="30"/>
      <c r="G23" s="30"/>
      <c r="H23" s="31"/>
    </row>
    <row r="24" spans="2:10" ht="20.100000000000001" customHeight="1">
      <c r="B24" s="501" t="s">
        <v>36</v>
      </c>
      <c r="C24" s="474"/>
      <c r="D24" s="30"/>
      <c r="E24" s="32"/>
      <c r="F24" s="30"/>
      <c r="G24" s="30"/>
      <c r="H24" s="31"/>
    </row>
    <row r="25" spans="2:10" ht="20.100000000000001" customHeight="1" thickBot="1">
      <c r="B25" s="33"/>
      <c r="C25" s="31"/>
      <c r="D25" s="30"/>
      <c r="E25" s="32"/>
      <c r="F25" s="30"/>
      <c r="G25" s="30"/>
      <c r="H25" s="31"/>
    </row>
    <row r="26" spans="2:10" ht="20.100000000000001" customHeight="1">
      <c r="B26" s="182" t="s">
        <v>37</v>
      </c>
      <c r="C26" s="339" t="s">
        <v>32</v>
      </c>
      <c r="D26" s="339" t="s">
        <v>38</v>
      </c>
      <c r="E26" s="339" t="s">
        <v>39</v>
      </c>
      <c r="F26" s="339" t="s">
        <v>40</v>
      </c>
      <c r="G26" s="339" t="s">
        <v>41</v>
      </c>
      <c r="H26" s="340" t="s">
        <v>42</v>
      </c>
    </row>
    <row r="27" spans="2:10" ht="20.100000000000001" customHeight="1">
      <c r="B27" s="396"/>
      <c r="C27" s="384"/>
      <c r="D27" s="384"/>
      <c r="E27" s="387"/>
      <c r="F27" s="384"/>
      <c r="G27" s="388"/>
      <c r="H27" s="398"/>
    </row>
    <row r="28" spans="2:10" ht="20.100000000000001" customHeight="1" thickBot="1">
      <c r="B28" s="1"/>
      <c r="C28" s="2"/>
      <c r="D28" s="2"/>
      <c r="E28" s="199"/>
      <c r="F28" s="2"/>
      <c r="G28" s="200"/>
      <c r="H28" s="361"/>
    </row>
    <row r="29" spans="2:10" ht="20.100000000000001" customHeight="1">
      <c r="B29" s="30"/>
      <c r="C29" s="31"/>
      <c r="D29" s="30"/>
      <c r="E29" s="32"/>
      <c r="F29" s="30"/>
      <c r="G29" s="30"/>
      <c r="H29" s="31"/>
    </row>
    <row r="30" spans="2:10" ht="20.100000000000001" customHeight="1">
      <c r="B30" s="53" t="s">
        <v>43</v>
      </c>
      <c r="C30" s="53"/>
      <c r="D30" s="53"/>
      <c r="E30" s="53"/>
      <c r="F30" s="28"/>
      <c r="G30" s="28"/>
      <c r="H30" s="28"/>
    </row>
    <row r="31" spans="2:10" ht="20.100000000000001" customHeight="1" thickBot="1">
      <c r="B31" s="34"/>
      <c r="C31" s="28"/>
      <c r="D31" s="28"/>
      <c r="E31" s="28"/>
      <c r="F31" s="28"/>
      <c r="G31" s="28"/>
      <c r="H31" s="28"/>
    </row>
    <row r="32" spans="2:10" ht="20.100000000000001" customHeight="1">
      <c r="B32" s="182" t="s">
        <v>19</v>
      </c>
      <c r="C32" s="339" t="s">
        <v>44</v>
      </c>
      <c r="D32" s="339" t="s">
        <v>45</v>
      </c>
      <c r="E32" s="77" t="s">
        <v>46</v>
      </c>
      <c r="F32" s="339" t="s">
        <v>47</v>
      </c>
      <c r="G32" s="339" t="s">
        <v>23</v>
      </c>
      <c r="H32" s="340" t="s">
        <v>24</v>
      </c>
    </row>
    <row r="33" spans="2:8" ht="20.100000000000001" customHeight="1">
      <c r="B33" s="396"/>
      <c r="C33" s="384"/>
      <c r="D33" s="384"/>
      <c r="E33" s="385"/>
      <c r="F33" s="384"/>
      <c r="G33" s="384"/>
      <c r="H33" s="397"/>
    </row>
    <row r="34" spans="2:8" ht="20.100000000000001" customHeight="1" thickBot="1">
      <c r="B34" s="1"/>
      <c r="C34" s="2"/>
      <c r="D34" s="2"/>
      <c r="E34" s="198"/>
      <c r="F34" s="2"/>
      <c r="G34" s="2"/>
      <c r="H34" s="362"/>
    </row>
    <row r="35" spans="2:8" ht="20.100000000000001" customHeight="1">
      <c r="B35" s="30"/>
      <c r="C35" s="30"/>
      <c r="D35" s="30"/>
      <c r="E35" s="32"/>
      <c r="F35" s="30"/>
      <c r="G35" s="30"/>
      <c r="H35" s="31"/>
    </row>
    <row r="36" spans="2:8" ht="20.100000000000001" customHeight="1">
      <c r="B36" s="53" t="s">
        <v>48</v>
      </c>
      <c r="C36" s="53"/>
      <c r="D36" s="53"/>
      <c r="E36" s="53"/>
      <c r="F36" s="28"/>
      <c r="G36" s="28"/>
      <c r="H36" s="28"/>
    </row>
    <row r="37" spans="2:8" ht="20.100000000000001" customHeight="1" thickBot="1">
      <c r="B37" s="28"/>
      <c r="C37" s="28"/>
      <c r="D37" s="28"/>
      <c r="E37" s="28"/>
      <c r="F37" s="28"/>
      <c r="G37" s="28"/>
      <c r="H37" s="28"/>
    </row>
    <row r="38" spans="2:8" ht="20.100000000000001" customHeight="1">
      <c r="B38" s="182" t="s">
        <v>19</v>
      </c>
      <c r="C38" s="482" t="s">
        <v>49</v>
      </c>
      <c r="D38" s="482"/>
      <c r="E38" s="489" t="s">
        <v>22</v>
      </c>
      <c r="F38" s="489"/>
      <c r="G38" s="482" t="s">
        <v>24</v>
      </c>
      <c r="H38" s="486"/>
    </row>
    <row r="39" spans="2:8" ht="20.100000000000001" customHeight="1">
      <c r="B39" s="307" t="s">
        <v>50</v>
      </c>
      <c r="C39" s="483" t="s">
        <v>51</v>
      </c>
      <c r="D39" s="483"/>
      <c r="E39" s="490"/>
      <c r="F39" s="490"/>
      <c r="G39" s="492"/>
      <c r="H39" s="493"/>
    </row>
    <row r="40" spans="2:8" ht="20.100000000000001" customHeight="1">
      <c r="B40" s="307"/>
      <c r="C40" s="494"/>
      <c r="D40" s="495"/>
      <c r="E40" s="496"/>
      <c r="F40" s="497"/>
      <c r="G40" s="498"/>
      <c r="H40" s="499"/>
    </row>
    <row r="41" spans="2:8" ht="20.100000000000001" customHeight="1" thickBot="1">
      <c r="B41" s="484" t="s">
        <v>52</v>
      </c>
      <c r="C41" s="485"/>
      <c r="D41" s="479"/>
      <c r="E41" s="487">
        <f>SUM(E39:F39)</f>
        <v/>
      </c>
      <c r="F41" s="488"/>
      <c r="G41" s="478"/>
      <c r="H41" s="491"/>
    </row>
    <row r="42" spans="2:8" ht="20.100000000000001" customHeight="1">
      <c r="B42" s="28"/>
      <c r="C42" s="28"/>
      <c r="D42" s="28"/>
      <c r="E42" s="28"/>
      <c r="F42" s="28"/>
      <c r="G42" s="28"/>
      <c r="H42" s="28"/>
    </row>
    <row r="43" spans="2:8" ht="20.100000000000001" customHeight="1">
      <c r="B43" s="53" t="s">
        <v>53</v>
      </c>
      <c r="C43" s="53"/>
      <c r="D43" s="53"/>
      <c r="E43" s="53"/>
      <c r="F43" s="28"/>
      <c r="G43" s="28"/>
      <c r="H43" s="28"/>
    </row>
    <row r="44" spans="2:8" ht="20.100000000000001" customHeight="1" thickBot="1">
      <c r="B44" s="28"/>
      <c r="C44" s="28"/>
      <c r="D44" s="28"/>
      <c r="E44" s="28"/>
      <c r="F44" s="28"/>
      <c r="G44" s="28"/>
      <c r="H44" s="28"/>
    </row>
    <row r="45" spans="2:8" ht="20.100000000000001" customHeight="1">
      <c r="B45" s="182" t="s">
        <v>19</v>
      </c>
      <c r="C45" s="339" t="s">
        <v>54</v>
      </c>
      <c r="D45" s="339" t="s">
        <v>55</v>
      </c>
      <c r="E45" s="339" t="s">
        <v>56</v>
      </c>
      <c r="F45" s="392" t="s">
        <v>57</v>
      </c>
      <c r="G45" s="482" t="s">
        <v>24</v>
      </c>
      <c r="H45" s="486"/>
    </row>
    <row r="46" spans="2:8" ht="20.100000000000001" customHeight="1">
      <c r="B46" s="393"/>
      <c r="C46" s="389"/>
      <c r="D46" s="127"/>
      <c r="E46" s="127"/>
      <c r="F46" s="390"/>
      <c r="G46" s="480"/>
      <c r="H46" s="481"/>
    </row>
    <row r="47" spans="2:8" ht="20.100000000000001" customHeight="1" thickBot="1">
      <c r="B47" s="201"/>
      <c r="C47" s="202"/>
      <c r="D47" s="203"/>
      <c r="E47" s="203"/>
      <c r="F47" s="204"/>
      <c r="G47" s="476"/>
      <c r="H47" s="477"/>
    </row>
    <row r="48" spans="2:8" ht="20.100000000000001" customHeight="1"/>
    <row r="49" spans="2:8" ht="20.100000000000001" customHeight="1">
      <c r="B49" s="53" t="s">
        <v>58</v>
      </c>
      <c r="C49" s="53"/>
      <c r="D49" s="53"/>
      <c r="E49" s="53"/>
      <c r="F49" s="28"/>
      <c r="G49" s="28"/>
      <c r="H49" s="28"/>
    </row>
    <row r="50" spans="2:8" ht="20.100000000000001" customHeight="1" thickBot="1">
      <c r="B50" s="28"/>
      <c r="C50" s="28"/>
      <c r="D50" s="28"/>
      <c r="E50" s="28"/>
      <c r="F50" s="28"/>
      <c r="G50" s="28"/>
      <c r="H50" s="28"/>
    </row>
    <row r="51" spans="2:8" ht="20.100000000000001" customHeight="1">
      <c r="B51" s="182" t="s">
        <v>19</v>
      </c>
      <c r="C51" s="339" t="s">
        <v>59</v>
      </c>
      <c r="D51" s="339" t="s">
        <v>55</v>
      </c>
      <c r="E51" s="339" t="s">
        <v>56</v>
      </c>
      <c r="F51" s="392" t="s">
        <v>60</v>
      </c>
      <c r="G51" s="339" t="s">
        <v>61</v>
      </c>
      <c r="H51" s="340" t="s">
        <v>24</v>
      </c>
    </row>
    <row r="52" spans="2:8" ht="20.100000000000001" customHeight="1">
      <c r="B52" s="393"/>
      <c r="C52" s="389"/>
      <c r="D52" s="127"/>
      <c r="E52" s="127"/>
      <c r="F52" s="391"/>
      <c r="G52" s="389"/>
      <c r="H52" s="394"/>
    </row>
    <row r="53" spans="2:8" ht="20.100000000000001" customHeight="1" thickBot="1">
      <c r="B53" s="201"/>
      <c r="C53" s="202"/>
      <c r="D53" s="203"/>
      <c r="E53" s="203"/>
      <c r="F53" s="205"/>
      <c r="G53" s="202"/>
      <c r="H53" s="395"/>
    </row>
    <row r="54" spans="2:8" ht="20.100000000000001" customHeight="1">
      <c r="B54" s="209"/>
      <c r="C54" s="209"/>
      <c r="D54" s="210"/>
      <c r="E54" s="210"/>
      <c r="F54" s="211"/>
      <c r="G54" s="209"/>
      <c r="H54" s="209"/>
    </row>
    <row r="55" spans="2:8" ht="20.100000000000001" customHeight="1">
      <c r="B55" s="308" t="s">
        <v>62</v>
      </c>
      <c r="C55" s="92"/>
      <c r="D55" s="92"/>
      <c r="E55" s="92"/>
      <c r="F55" s="28"/>
      <c r="G55" s="28"/>
      <c r="H55" s="28"/>
    </row>
    <row r="56" spans="2:8" ht="20.100000000000001" customHeight="1" thickBot="1">
      <c r="B56" s="28"/>
      <c r="C56" s="28"/>
      <c r="D56" s="28"/>
      <c r="E56" s="28"/>
      <c r="F56" s="28"/>
      <c r="G56" s="28"/>
    </row>
    <row r="57" spans="2:8" ht="20.100000000000001" customHeight="1">
      <c r="B57" s="182" t="s">
        <v>19</v>
      </c>
      <c r="C57" s="339" t="s">
        <v>63</v>
      </c>
      <c r="D57" s="339" t="s">
        <v>64</v>
      </c>
      <c r="E57" s="339" t="s">
        <v>65</v>
      </c>
      <c r="F57" s="392" t="s">
        <v>66</v>
      </c>
      <c r="G57" s="482" t="s">
        <v>67</v>
      </c>
      <c r="H57" s="486"/>
    </row>
    <row r="58" spans="2:8" ht="20.100000000000001" customHeight="1">
      <c r="B58" s="393"/>
      <c r="C58" s="389"/>
      <c r="D58" s="127"/>
      <c r="E58" s="127"/>
      <c r="F58" s="389"/>
      <c r="G58" s="480"/>
      <c r="H58" s="481"/>
    </row>
    <row r="59" spans="2:8" ht="20.100000000000001" customHeight="1" thickBot="1">
      <c r="B59" s="201"/>
      <c r="C59" s="202"/>
      <c r="D59" s="203"/>
      <c r="E59" s="203"/>
      <c r="F59" s="202"/>
      <c r="G59" s="202"/>
      <c r="H59" s="395"/>
    </row>
  </sheetData>
  <mergeCells count="24">
    <mergeCell ref="E40:F40"/>
    <mergeCell ref="G40:H40"/>
    <mergeCell ref="B2:H2"/>
    <mergeCell ref="B12:C12"/>
    <mergeCell ref="B18:C18"/>
    <mergeCell ref="B24:C24"/>
    <mergeCell ref="F8:G8"/>
    <mergeCell ref="F9:G9"/>
    <mergeCell ref="G47:H47"/>
    <mergeCell ref="F10:G10"/>
    <mergeCell ref="G58:H58"/>
    <mergeCell ref="C38:D38"/>
    <mergeCell ref="C39:D39"/>
    <mergeCell ref="B41:D41"/>
    <mergeCell ref="G46:H46"/>
    <mergeCell ref="G45:H45"/>
    <mergeCell ref="G57:H57"/>
    <mergeCell ref="E41:F41"/>
    <mergeCell ref="E38:F38"/>
    <mergeCell ref="E39:F39"/>
    <mergeCell ref="G41:H41"/>
    <mergeCell ref="G39:H39"/>
    <mergeCell ref="G38:H38"/>
    <mergeCell ref="C40:D40"/>
  </mergeCells>
  <phoneticPr fontId="2" type="noConversion"/>
  <pageMargins left="0.7" right="0.7" top="0.75" bottom="0.75" header="0.3" footer="0.3"/>
  <pageSetup paperSize="9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B1:J60"/>
  <sheetViews>
    <sheetView showGridLines="0" zoomScale="115" zoomScaleNormal="115" zoomScaleSheetLayoutView="100" workbookViewId="0">
      <selection activeCell="D11" sqref="D11"/>
    </sheetView>
  </sheetViews>
  <sheetFormatPr defaultColWidth="8.88671875" defaultRowHeight="13.5"/>
  <cols>
    <col min="1" max="1" width="5.5546875" style="5" customWidth="1"/>
    <col min="2" max="2" width="17.5546875" style="5" customWidth="1"/>
    <col min="3" max="8" width="15.5546875" style="5" customWidth="1"/>
    <col min="9" max="16384" width="8.88671875" style="5"/>
  </cols>
  <sheetData>
    <row r="1" spans="2:8" ht="15" customHeight="1">
      <c r="B1" s="34"/>
      <c r="C1" s="34"/>
      <c r="D1" s="34"/>
      <c r="E1" s="34"/>
      <c r="F1" s="34"/>
      <c r="G1" s="34"/>
      <c r="H1" s="34"/>
    </row>
    <row r="2" spans="2:8" ht="24.95" customHeight="1">
      <c r="B2" s="446" t="s">
        <v>68</v>
      </c>
      <c r="C2" s="447"/>
      <c r="D2" s="447"/>
      <c r="E2" s="34"/>
      <c r="F2" s="34"/>
      <c r="G2" s="34"/>
      <c r="H2" s="34"/>
    </row>
    <row r="3" spans="2:8" ht="15" customHeight="1">
      <c r="B3" s="27"/>
      <c r="C3" s="34"/>
      <c r="D3" s="34"/>
      <c r="E3" s="34"/>
      <c r="F3" s="34"/>
      <c r="G3" s="34"/>
      <c r="H3" s="34"/>
    </row>
    <row r="4" spans="2:8" ht="20.100000000000001" customHeight="1">
      <c r="B4" s="507" t="s">
        <v>69</v>
      </c>
      <c r="C4" s="508"/>
      <c r="D4" s="508"/>
      <c r="E4" s="508"/>
      <c r="F4" s="508"/>
      <c r="G4" s="508"/>
      <c r="H4" s="508"/>
    </row>
    <row r="5" spans="2:8" ht="15" customHeight="1">
      <c r="B5" s="34"/>
      <c r="C5" s="34"/>
      <c r="D5" s="34"/>
      <c r="E5" s="34"/>
      <c r="F5" s="34"/>
      <c r="G5" s="34"/>
      <c r="H5" s="34"/>
    </row>
    <row r="6" spans="2:8" ht="15" customHeight="1">
      <c r="B6" s="34"/>
      <c r="C6" s="34"/>
      <c r="D6" s="34"/>
      <c r="E6" s="34"/>
      <c r="F6" s="34"/>
      <c r="G6" s="34"/>
      <c r="H6" s="34"/>
    </row>
    <row r="7" spans="2:8" ht="20.100000000000001" customHeight="1">
      <c r="B7" s="92" t="s">
        <v>70</v>
      </c>
      <c r="C7" s="34"/>
      <c r="D7" s="34"/>
      <c r="E7" s="34"/>
      <c r="F7" s="34"/>
      <c r="G7" s="34"/>
      <c r="H7" s="34"/>
    </row>
    <row r="8" spans="2:8" ht="15" customHeight="1" thickBot="1">
      <c r="B8" s="34"/>
      <c r="C8" s="34"/>
      <c r="D8" s="34"/>
      <c r="E8" s="34"/>
      <c r="F8" s="34"/>
      <c r="G8" s="34"/>
      <c r="H8" s="78" t="s">
        <v>71</v>
      </c>
    </row>
    <row r="9" spans="2:8" ht="15" customHeight="1">
      <c r="B9" s="56" t="s">
        <v>72</v>
      </c>
      <c r="C9" s="57"/>
      <c r="D9" s="57"/>
      <c r="E9" s="57"/>
      <c r="F9" s="57"/>
      <c r="G9" s="57"/>
      <c r="H9" s="87" t="s">
        <v>73</v>
      </c>
    </row>
    <row r="10" spans="2:8" ht="15" customHeight="1">
      <c r="B10" s="24" t="s">
        <v>74</v>
      </c>
      <c r="C10" s="116">
        <f>'12 손익계획'!C6</f>
        <v/>
      </c>
      <c r="D10" s="116">
        <f>'12 손익계획'!D6</f>
        <v/>
      </c>
      <c r="E10" s="116">
        <f>'12 손익계획'!E6</f>
        <v/>
      </c>
      <c r="F10" s="116">
        <f>'12 손익계획'!F6</f>
        <v/>
      </c>
      <c r="G10" s="116">
        <f>'12 손익계획'!G6</f>
        <v/>
      </c>
      <c r="H10" s="88"/>
    </row>
    <row r="11" spans="2:8" ht="15" customHeight="1">
      <c r="B11" s="24" t="s">
        <v>75</v>
      </c>
      <c r="C11" s="79">
        <f>'12 손익계획'!C26</f>
        <v/>
      </c>
      <c r="D11" s="79">
        <f>'12 손익계획'!D26</f>
        <v/>
      </c>
      <c r="E11" s="79">
        <f>'12 손익계획'!E26</f>
        <v/>
      </c>
      <c r="F11" s="79">
        <f>'12 손익계획'!F26</f>
        <v/>
      </c>
      <c r="G11" s="79">
        <f>'12 손익계획'!G26</f>
        <v/>
      </c>
      <c r="H11" s="25"/>
    </row>
    <row r="12" spans="2:8" ht="15" customHeight="1" thickBot="1">
      <c r="B12" s="319" t="s">
        <v>76</v>
      </c>
      <c r="C12" s="320" t="e">
        <f>C11/C10</f>
        <v/>
      </c>
      <c r="D12" s="320">
        <f>D11/D10</f>
        <v/>
      </c>
      <c r="E12" s="320">
        <f>E11/E10</f>
        <v/>
      </c>
      <c r="F12" s="320">
        <f>F11/F10</f>
        <v/>
      </c>
      <c r="G12" s="320">
        <f>G11/G10</f>
        <v/>
      </c>
      <c r="H12" s="321"/>
    </row>
    <row r="13" spans="2:8" ht="15" customHeight="1">
      <c r="B13" s="183"/>
      <c r="C13" s="183"/>
      <c r="D13" s="183"/>
      <c r="E13" s="119"/>
      <c r="F13" s="119"/>
      <c r="G13" s="119"/>
      <c r="H13" s="119"/>
    </row>
    <row r="14" spans="2:8" ht="20.100000000000001" customHeight="1">
      <c r="B14"/>
      <c r="C14"/>
      <c r="D14"/>
      <c r="E14"/>
      <c r="F14"/>
      <c r="G14"/>
      <c r="H14"/>
    </row>
    <row r="15" spans="2:8" ht="15" customHeight="1">
      <c r="B15"/>
      <c r="C15"/>
      <c r="D15"/>
      <c r="E15"/>
      <c r="F15"/>
      <c r="G15"/>
      <c r="H15"/>
    </row>
    <row r="16" spans="2:8" ht="15" customHeight="1">
      <c r="B16" s="506"/>
      <c r="C16" s="506"/>
      <c r="D16"/>
      <c r="E16"/>
      <c r="F16"/>
      <c r="G16"/>
      <c r="H16"/>
    </row>
    <row r="17" spans="2:10" ht="15" customHeight="1">
      <c r="B17"/>
      <c r="C17"/>
      <c r="D17"/>
      <c r="E17"/>
      <c r="F17"/>
      <c r="G17"/>
      <c r="H17"/>
    </row>
    <row r="18" spans="2:10" ht="15" customHeight="1">
      <c r="B18"/>
      <c r="C18"/>
      <c r="D18"/>
      <c r="E18"/>
      <c r="F18"/>
      <c r="G18"/>
      <c r="H18"/>
    </row>
    <row r="19" spans="2:10" ht="15" customHeight="1">
      <c r="B19"/>
      <c r="C19"/>
      <c r="D19"/>
      <c r="E19"/>
      <c r="F19"/>
      <c r="G19"/>
      <c r="H19"/>
    </row>
    <row r="20" spans="2:10" ht="15" customHeight="1">
      <c r="B20"/>
      <c r="C20"/>
      <c r="D20"/>
      <c r="E20"/>
      <c r="F20"/>
      <c r="G20"/>
      <c r="H20"/>
    </row>
    <row r="21" spans="2:10" ht="15" customHeight="1">
      <c r="B21" s="506"/>
      <c r="C21" s="506"/>
      <c r="D21" s="506"/>
      <c r="E21" s="506"/>
      <c r="F21" s="506"/>
      <c r="G21" s="506"/>
      <c r="H21" s="506"/>
      <c r="I21"/>
      <c r="J21"/>
    </row>
    <row r="25" spans="2:10" ht="15" customHeight="1"/>
    <row r="27" spans="2:10" ht="15" customHeight="1"/>
    <row r="31" spans="2:10" ht="15" customHeight="1"/>
    <row r="32" spans="2:10" ht="15" customHeight="1"/>
    <row r="33" ht="15" customHeight="1"/>
    <row r="34" ht="20.100000000000001" customHeight="1"/>
    <row r="35" ht="15" customHeight="1"/>
    <row r="39" ht="15" customHeight="1"/>
    <row r="40" ht="20.100000000000001" customHeight="1"/>
    <row r="41" ht="15" customHeight="1"/>
    <row r="46" ht="15" customHeight="1"/>
    <row r="47" ht="20.100000000000001" customHeight="1"/>
    <row r="48" ht="15" customHeight="1"/>
    <row r="52" ht="15" customHeight="1"/>
    <row r="53" ht="20.100000000000001" customHeight="1"/>
    <row r="54" ht="15" customHeight="1"/>
    <row r="58" ht="15" customHeight="1"/>
    <row r="59" ht="20.100000000000001" customHeight="1"/>
    <row r="60" ht="15" customHeight="1"/>
  </sheetData>
  <mergeCells count="4">
    <mergeCell ref="B16:C16"/>
    <mergeCell ref="B2:D2"/>
    <mergeCell ref="B4:H4"/>
    <mergeCell ref="B21:H21"/>
  </mergeCells>
  <phoneticPr fontId="2" type="noConversion"/>
  <pageMargins left="0.7" right="0.7" top="0.75" bottom="0.75" header="0.3" footer="0.3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J56"/>
  <sheetViews>
    <sheetView showGridLines="0" zoomScaleNormal="100" zoomScaleSheetLayoutView="100" workbookViewId="0">
      <selection activeCell="E35" sqref="E35"/>
    </sheetView>
  </sheetViews>
  <sheetFormatPr defaultColWidth="8.88671875" defaultRowHeight="13.5"/>
  <cols>
    <col min="1" max="1" width="5.5546875" style="34" customWidth="1"/>
    <col min="2" max="2" width="20.5546875" style="34" customWidth="1"/>
    <col min="3" max="3" width="20.5546875" style="13" customWidth="1"/>
    <col min="4" max="8" width="20.5546875" style="34" customWidth="1"/>
    <col min="9" max="9" width="15.5546875" style="34" customWidth="1"/>
    <col min="10" max="10" width="10.44140625" style="34" bestFit="1" customWidth="1"/>
    <col min="11" max="11" width="20.5546875" style="34" customWidth="1"/>
    <col min="12" max="16384" width="8.88671875" style="34"/>
  </cols>
  <sheetData>
    <row r="1" spans="2:10" ht="15" customHeight="1"/>
    <row r="2" spans="2:10" ht="24.95" customHeight="1">
      <c r="B2" s="446" t="s">
        <v>77</v>
      </c>
      <c r="C2" s="447"/>
    </row>
    <row r="3" spans="2:10" ht="15" customHeight="1">
      <c r="B3" s="27"/>
    </row>
    <row r="4" spans="2:10" ht="20.100000000000001" customHeight="1">
      <c r="B4" s="523" t="s">
        <v>78</v>
      </c>
      <c r="C4" s="524"/>
      <c r="D4" s="66"/>
      <c r="E4" s="66"/>
      <c r="F4" s="66"/>
      <c r="G4" s="66"/>
      <c r="H4" s="66"/>
      <c r="I4" s="66"/>
    </row>
    <row r="5" spans="2:10" ht="15" customHeight="1" thickBot="1">
      <c r="B5" s="138"/>
      <c r="C5" s="138"/>
      <c r="D5" s="138"/>
      <c r="E5" s="138"/>
      <c r="F5" s="138"/>
      <c r="G5" s="138"/>
      <c r="H5" s="138"/>
      <c r="I5" s="67" t="s">
        <v>79</v>
      </c>
    </row>
    <row r="6" spans="2:10" ht="15" customHeight="1">
      <c r="B6" s="528" t="s">
        <v>80</v>
      </c>
      <c r="C6" s="530" t="s">
        <v>81</v>
      </c>
      <c r="D6" s="525" t="s">
        <v>82</v>
      </c>
      <c r="E6" s="526"/>
      <c r="F6" s="527"/>
      <c r="G6" s="517" t="s">
        <v>83</v>
      </c>
      <c r="H6" s="518"/>
      <c r="I6" s="519"/>
    </row>
    <row r="7" spans="2:10" ht="15" customHeight="1">
      <c r="B7" s="529"/>
      <c r="C7" s="531"/>
      <c r="D7" s="139" t="s">
        <v>84</v>
      </c>
      <c r="E7" s="139" t="s">
        <v>85</v>
      </c>
      <c r="F7" s="139" t="s">
        <v>86</v>
      </c>
      <c r="G7" s="520"/>
      <c r="H7" s="521"/>
      <c r="I7" s="522"/>
    </row>
    <row r="8" spans="2:10" ht="15" customHeight="1">
      <c r="B8" s="338"/>
      <c r="C8" s="79">
        <f>SUM(D8:F8)</f>
        <v/>
      </c>
      <c r="D8" s="79">
        <f>F24</f>
        <v/>
      </c>
      <c r="E8" s="79"/>
      <c r="F8" s="79">
        <f>H24</f>
        <v/>
      </c>
      <c r="G8" s="514"/>
      <c r="H8" s="515"/>
      <c r="I8" s="516"/>
    </row>
    <row r="9" spans="2:10" ht="15" customHeight="1">
      <c r="B9" s="338">
        <f>B8+1</f>
        <v/>
      </c>
      <c r="C9" s="79">
        <f t="shared" ref="C9:C12" si="0">SUM(D9:F9)</f>
        <v/>
      </c>
      <c r="D9" s="79">
        <f t="shared" ref="D9:F12" si="1">F25</f>
        <v/>
      </c>
      <c r="E9" s="79">
        <f t="shared" si="1"/>
        <v/>
      </c>
      <c r="F9" s="79">
        <f t="shared" si="1"/>
        <v/>
      </c>
      <c r="G9" s="514"/>
      <c r="H9" s="515"/>
      <c r="I9" s="516"/>
    </row>
    <row r="10" spans="2:10" ht="15" customHeight="1">
      <c r="B10" s="338">
        <f t="shared" ref="B10:B12" si="2">B9+1</f>
        <v/>
      </c>
      <c r="C10" s="79">
        <f t="shared" si="0"/>
        <v/>
      </c>
      <c r="D10" s="79">
        <f t="shared" si="1"/>
        <v/>
      </c>
      <c r="E10" s="79">
        <f t="shared" si="1"/>
        <v/>
      </c>
      <c r="F10" s="79">
        <f t="shared" si="1"/>
        <v/>
      </c>
      <c r="G10" s="514"/>
      <c r="H10" s="515"/>
      <c r="I10" s="516"/>
    </row>
    <row r="11" spans="2:10" ht="15" customHeight="1">
      <c r="B11" s="338">
        <f t="shared" si="2"/>
        <v/>
      </c>
      <c r="C11" s="79">
        <f t="shared" si="0"/>
        <v/>
      </c>
      <c r="D11" s="79">
        <f t="shared" si="1"/>
        <v/>
      </c>
      <c r="E11" s="79">
        <f t="shared" si="1"/>
        <v/>
      </c>
      <c r="F11" s="79">
        <f t="shared" si="1"/>
        <v/>
      </c>
      <c r="G11" s="514"/>
      <c r="H11" s="515"/>
      <c r="I11" s="516"/>
    </row>
    <row r="12" spans="2:10" ht="15" customHeight="1">
      <c r="B12" s="338">
        <f t="shared" si="2"/>
        <v/>
      </c>
      <c r="C12" s="79">
        <f t="shared" si="0"/>
        <v/>
      </c>
      <c r="D12" s="79">
        <f t="shared" si="1"/>
        <v/>
      </c>
      <c r="E12" s="79">
        <f t="shared" si="1"/>
        <v/>
      </c>
      <c r="F12" s="79">
        <f t="shared" si="1"/>
        <v/>
      </c>
      <c r="G12" s="514"/>
      <c r="H12" s="515"/>
      <c r="I12" s="516"/>
    </row>
    <row r="13" spans="2:10" ht="15" customHeight="1" thickBot="1">
      <c r="B13" s="140" t="s">
        <v>87</v>
      </c>
      <c r="C13" s="128">
        <f>SUM(C8:C12)</f>
        <v/>
      </c>
      <c r="D13" s="128">
        <f>SUM(D8:D12)</f>
        <v/>
      </c>
      <c r="E13" s="128">
        <f>SUM(E8:E12)</f>
        <v/>
      </c>
      <c r="F13" s="128">
        <f>SUM(F8:F12)</f>
        <v/>
      </c>
      <c r="G13" s="511"/>
      <c r="H13" s="512"/>
      <c r="I13" s="513"/>
      <c r="J13" s="60"/>
    </row>
    <row r="14" spans="2:10" ht="15" customHeight="1">
      <c r="B14" s="141"/>
      <c r="C14" s="154"/>
      <c r="D14" s="154"/>
      <c r="E14" s="154"/>
      <c r="F14" s="154"/>
      <c r="G14" s="154"/>
      <c r="H14" s="154"/>
      <c r="I14" s="154"/>
    </row>
    <row r="15" spans="2:10" ht="20.100000000000001" customHeight="1">
      <c r="B15" s="523" t="s">
        <v>88</v>
      </c>
      <c r="C15" s="523"/>
      <c r="D15" s="523"/>
      <c r="E15" s="523"/>
      <c r="F15" s="121"/>
      <c r="G15" s="121"/>
      <c r="H15" s="121"/>
      <c r="I15" s="121"/>
    </row>
    <row r="16" spans="2:10" ht="15" customHeight="1" thickBot="1">
      <c r="B16" s="138"/>
      <c r="C16" s="138"/>
      <c r="D16" s="138"/>
      <c r="E16" s="138"/>
      <c r="F16" s="138"/>
      <c r="G16" s="138"/>
      <c r="H16" s="138"/>
      <c r="I16" s="67" t="s">
        <v>89</v>
      </c>
    </row>
    <row r="17" spans="2:10" ht="15" customHeight="1">
      <c r="B17" s="534" t="s">
        <v>90</v>
      </c>
      <c r="C17" s="517" t="s">
        <v>91</v>
      </c>
      <c r="D17" s="517"/>
      <c r="E17" s="517" t="s">
        <v>92</v>
      </c>
      <c r="F17" s="517"/>
      <c r="G17" s="517"/>
      <c r="H17" s="517"/>
      <c r="I17" s="509" t="s">
        <v>93</v>
      </c>
    </row>
    <row r="18" spans="2:10" ht="15" customHeight="1">
      <c r="B18" s="535"/>
      <c r="C18" s="139" t="s">
        <v>94</v>
      </c>
      <c r="D18" s="139" t="s">
        <v>95</v>
      </c>
      <c r="E18" s="139" t="s">
        <v>96</v>
      </c>
      <c r="F18" s="139" t="s">
        <v>97</v>
      </c>
      <c r="G18" s="139" t="s">
        <v>98</v>
      </c>
      <c r="H18" s="139" t="s">
        <v>86</v>
      </c>
      <c r="I18" s="510"/>
    </row>
    <row r="19" spans="2:10" ht="15" customHeight="1">
      <c r="B19" s="532">
        <f>B8</f>
        <v/>
      </c>
      <c r="C19" s="329"/>
      <c r="D19" s="329"/>
      <c r="E19" s="330">
        <f>SUM(F19:H19)</f>
        <v/>
      </c>
      <c r="F19" s="331"/>
      <c r="G19" s="331"/>
      <c r="H19" s="346"/>
      <c r="I19" s="158"/>
    </row>
    <row r="20" spans="2:10" ht="15" customHeight="1">
      <c r="B20" s="532"/>
      <c r="C20" s="127"/>
      <c r="D20" s="329"/>
      <c r="E20" s="206">
        <f>SUM(F20:H20)</f>
        <v/>
      </c>
      <c r="F20" s="331"/>
      <c r="G20" s="331"/>
      <c r="H20" s="79"/>
      <c r="I20" s="158"/>
      <c r="J20" s="60"/>
    </row>
    <row r="21" spans="2:10" ht="15" customHeight="1">
      <c r="B21" s="532"/>
      <c r="C21" s="127"/>
      <c r="D21" s="207"/>
      <c r="E21" s="206">
        <f>SUM(F21:H21)</f>
        <v/>
      </c>
      <c r="F21" s="331"/>
      <c r="G21" s="331"/>
      <c r="H21" s="79"/>
      <c r="I21" s="335"/>
      <c r="J21" s="60"/>
    </row>
    <row r="22" spans="2:10" ht="15" customHeight="1">
      <c r="B22" s="532"/>
      <c r="C22" s="127"/>
      <c r="D22" s="329"/>
      <c r="E22" s="206">
        <f>SUM(F22:H22)</f>
        <v/>
      </c>
      <c r="F22" s="331">
        <f>0</f>
        <v/>
      </c>
      <c r="G22" s="331"/>
      <c r="H22" s="79"/>
      <c r="I22" s="208"/>
      <c r="J22" s="60"/>
    </row>
    <row r="23" spans="2:10" ht="15" customHeight="1">
      <c r="B23" s="532"/>
      <c r="C23" s="127"/>
      <c r="D23" s="329"/>
      <c r="E23" s="206"/>
      <c r="F23" s="331">
        <f>0</f>
        <v/>
      </c>
      <c r="G23" s="331">
        <f>0</f>
        <v/>
      </c>
      <c r="H23" s="79"/>
      <c r="I23" s="208"/>
      <c r="J23" s="60"/>
    </row>
    <row r="24" spans="2:10" ht="15" customHeight="1">
      <c r="B24" s="532"/>
      <c r="C24" s="533" t="s">
        <v>96</v>
      </c>
      <c r="D24" s="533"/>
      <c r="E24" s="79">
        <f>SUM(E19:E23)</f>
        <v/>
      </c>
      <c r="F24" s="79">
        <f>SUM(F19:F23)</f>
        <v/>
      </c>
      <c r="G24" s="79">
        <f>SUM(G19:G23)</f>
        <v/>
      </c>
      <c r="H24" s="79">
        <f>SUM(H19:H23)</f>
        <v/>
      </c>
      <c r="I24" s="158"/>
    </row>
    <row r="25" spans="2:10" ht="15" customHeight="1">
      <c r="B25" s="345">
        <f>B9</f>
        <v/>
      </c>
      <c r="C25" s="127"/>
      <c r="D25" s="329"/>
      <c r="E25" s="206">
        <f>SUM(F25:G25)</f>
        <v/>
      </c>
      <c r="F25" s="79">
        <f>0</f>
        <v/>
      </c>
      <c r="G25" s="79"/>
      <c r="H25" s="79"/>
      <c r="I25" s="158"/>
    </row>
    <row r="26" spans="2:10" ht="15" customHeight="1">
      <c r="B26" s="345">
        <f t="shared" ref="B26:B28" si="3">B10</f>
        <v/>
      </c>
      <c r="C26" s="127"/>
      <c r="D26" s="329"/>
      <c r="E26" s="206">
        <f>SUM(F26:G26)</f>
        <v/>
      </c>
      <c r="F26" s="79">
        <f>0</f>
        <v/>
      </c>
      <c r="G26" s="79"/>
      <c r="H26" s="79"/>
      <c r="I26" s="158"/>
    </row>
    <row r="27" spans="2:10" ht="15" customHeight="1">
      <c r="B27" s="345">
        <f t="shared" si="3"/>
        <v/>
      </c>
      <c r="C27" s="127"/>
      <c r="D27" s="329"/>
      <c r="E27" s="206">
        <f>SUM(F27:G27)</f>
        <v/>
      </c>
      <c r="F27" s="79">
        <f>0</f>
        <v/>
      </c>
      <c r="G27" s="79"/>
      <c r="H27" s="79"/>
      <c r="I27" s="158"/>
    </row>
    <row r="28" spans="2:10" ht="15" customHeight="1" thickBot="1">
      <c r="B28" s="345">
        <f t="shared" si="3"/>
        <v/>
      </c>
      <c r="C28" s="203"/>
      <c r="D28" s="298"/>
      <c r="E28" s="177">
        <f>SUM(F28:G28)</f>
        <v/>
      </c>
      <c r="F28" s="128">
        <f>0</f>
        <v/>
      </c>
      <c r="G28" s="128"/>
      <c r="H28" s="128"/>
      <c r="I28" s="178"/>
    </row>
    <row r="30" spans="2:10" ht="15" customHeight="1"/>
    <row r="31" spans="2:10" ht="15" customHeight="1"/>
    <row r="32" spans="2:10" ht="15" customHeight="1"/>
    <row r="33" spans="2:4" ht="15" customHeight="1"/>
    <row r="34" spans="2:4" ht="15" customHeight="1"/>
    <row r="35" spans="2:4" ht="15" customHeight="1"/>
    <row r="36" spans="2:4" ht="15" customHeight="1"/>
    <row r="37" spans="2:4" ht="15" customHeight="1">
      <c r="C37" s="34"/>
      <c r="D37" s="164"/>
    </row>
    <row r="38" spans="2:4" ht="15" customHeight="1">
      <c r="C38" s="34"/>
      <c r="D38" s="164"/>
    </row>
    <row r="39" spans="2:4" ht="15" customHeight="1">
      <c r="C39" s="164"/>
    </row>
    <row r="40" spans="2:4" ht="15" customHeight="1">
      <c r="B40" s="163"/>
      <c r="C40" s="164"/>
    </row>
    <row r="41" spans="2:4" ht="15" customHeight="1">
      <c r="C41" s="164"/>
    </row>
    <row r="42" spans="2:4" ht="15" customHeight="1">
      <c r="C42" s="34"/>
    </row>
    <row r="43" spans="2:4" ht="20.100000000000001" customHeight="1">
      <c r="B43" s="13"/>
    </row>
    <row r="44" spans="2:4" ht="15" customHeight="1">
      <c r="B44" s="163"/>
    </row>
    <row r="45" spans="2:4">
      <c r="B45" s="163"/>
    </row>
    <row r="46" spans="2:4">
      <c r="B46" s="163"/>
    </row>
    <row r="48" spans="2:4" ht="15" customHeight="1"/>
    <row r="49" ht="20.100000000000001" customHeight="1"/>
    <row r="50" ht="15" customHeight="1"/>
    <row r="54" ht="15" customHeight="1"/>
    <row r="55" ht="20.100000000000001" customHeight="1"/>
    <row r="56" ht="15" customHeight="1"/>
  </sheetData>
  <mergeCells count="19">
    <mergeCell ref="B19:B24"/>
    <mergeCell ref="C24:D24"/>
    <mergeCell ref="B15:E15"/>
    <mergeCell ref="B17:B18"/>
    <mergeCell ref="C17:D17"/>
    <mergeCell ref="I17:I18"/>
    <mergeCell ref="G13:I13"/>
    <mergeCell ref="B2:C2"/>
    <mergeCell ref="G8:I8"/>
    <mergeCell ref="G9:I9"/>
    <mergeCell ref="G6:I7"/>
    <mergeCell ref="G12:I12"/>
    <mergeCell ref="B4:C4"/>
    <mergeCell ref="D6:F6"/>
    <mergeCell ref="B6:B7"/>
    <mergeCell ref="G10:I10"/>
    <mergeCell ref="G11:I11"/>
    <mergeCell ref="C6:C7"/>
    <mergeCell ref="E17:H17"/>
  </mergeCells>
  <phoneticPr fontId="2" type="noConversion"/>
  <pageMargins left="0.7" right="0.7" top="0.75" bottom="0.75" header="0.3" footer="0.3"/>
  <pageSetup paperSize="9" scale="70" orientation="landscape" r:id="rId1"/>
  <headerFooter alignWithMargins="0"/>
  <ignoredErrors>
    <ignoredError sqref="E25:E28" formulaRange="1"/>
    <ignoredError sqref="F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H81"/>
  <sheetViews>
    <sheetView showGridLines="0" zoomScaleNormal="100" zoomScaleSheetLayoutView="115" workbookViewId="0">
      <selection activeCell="H9" sqref="H9"/>
    </sheetView>
  </sheetViews>
  <sheetFormatPr defaultColWidth="8.88671875" defaultRowHeight="13.5"/>
  <cols>
    <col min="1" max="1" width="5.5546875" style="5" customWidth="1"/>
    <col min="2" max="2" width="17.88671875" style="5" customWidth="1"/>
    <col min="3" max="3" width="17.6640625" style="5" customWidth="1"/>
    <col min="4" max="4" width="16.109375" style="5" customWidth="1"/>
    <col min="5" max="5" width="15.88671875" style="5" customWidth="1"/>
    <col min="6" max="6" width="15.44140625" style="5" customWidth="1"/>
    <col min="7" max="7" width="14.5546875" style="5" customWidth="1"/>
    <col min="8" max="8" width="23.5546875" style="5" customWidth="1"/>
    <col min="9" max="16384" width="8.88671875" style="5"/>
  </cols>
  <sheetData>
    <row r="1" spans="2:7" ht="15" customHeight="1"/>
    <row r="2" spans="2:7" ht="24.95" customHeight="1">
      <c r="B2" s="542" t="s">
        <v>99</v>
      </c>
      <c r="C2" s="543"/>
      <c r="D2" s="543"/>
    </row>
    <row r="3" spans="2:7" ht="15" customHeight="1"/>
    <row r="4" spans="2:7" ht="20.100000000000001" customHeight="1">
      <c r="B4" s="544" t="s">
        <v>100</v>
      </c>
      <c r="C4" s="544"/>
      <c r="D4" s="544"/>
      <c r="E4" s="5"/>
    </row>
    <row r="5" spans="2:7" ht="15" customHeight="1" thickBot="1">
      <c r="G5" s="46" t="s">
        <v>101</v>
      </c>
    </row>
    <row r="6" spans="2:7" ht="15" customHeight="1">
      <c r="B6" s="545" t="s">
        <v>102</v>
      </c>
      <c r="C6" s="549" t="s">
        <v>103</v>
      </c>
      <c r="D6" s="539" t="s">
        <v>104</v>
      </c>
      <c r="E6" s="454"/>
      <c r="F6" s="540" t="s">
        <v>105</v>
      </c>
      <c r="G6" s="536" t="s">
        <v>106</v>
      </c>
    </row>
    <row r="7" spans="2:7" ht="15" customHeight="1">
      <c r="B7" s="546"/>
      <c r="C7" s="550"/>
      <c r="D7" s="194" t="s">
        <v>107</v>
      </c>
      <c r="E7" s="194" t="s">
        <v>108</v>
      </c>
      <c r="F7" s="541"/>
      <c r="G7" s="538"/>
    </row>
    <row r="8" spans="2:7" ht="15" customHeight="1">
      <c r="B8" s="262">
        <f>C38</f>
        <v/>
      </c>
      <c r="C8" s="189">
        <f>C42</f>
        <v/>
      </c>
      <c r="D8" s="189">
        <f>E42</f>
        <v/>
      </c>
      <c r="E8" s="189">
        <f>D42</f>
        <v/>
      </c>
      <c r="F8" s="189">
        <f>C8-D8</f>
        <v/>
      </c>
      <c r="G8" s="263"/>
    </row>
    <row r="9" spans="2:7" ht="15" customHeight="1">
      <c r="B9" s="262">
        <f>B8+1</f>
        <v/>
      </c>
      <c r="C9" s="189">
        <f t="shared" ref="C9:C32" si="0">C43</f>
        <v/>
      </c>
      <c r="D9" s="189">
        <f t="shared" ref="D9:D32" si="1">E43</f>
        <v/>
      </c>
      <c r="E9" s="189">
        <f t="shared" ref="E9:E32" si="2">D43</f>
        <v/>
      </c>
      <c r="F9" s="189">
        <f t="shared" ref="F9:F32" si="3">C9-D9</f>
        <v/>
      </c>
      <c r="G9" s="264"/>
    </row>
    <row r="10" spans="2:7" ht="15" customHeight="1">
      <c r="B10" s="262">
        <f t="shared" ref="B10:B32" si="4">B9+1</f>
        <v/>
      </c>
      <c r="C10" s="189">
        <f t="shared" si="0"/>
        <v/>
      </c>
      <c r="D10" s="189">
        <f t="shared" si="1"/>
        <v/>
      </c>
      <c r="E10" s="189">
        <f t="shared" si="2"/>
        <v/>
      </c>
      <c r="F10" s="189">
        <f t="shared" si="3"/>
        <v/>
      </c>
      <c r="G10" s="264"/>
    </row>
    <row r="11" spans="2:7" ht="15" customHeight="1">
      <c r="B11" s="262">
        <f t="shared" si="4"/>
        <v/>
      </c>
      <c r="C11" s="189">
        <f t="shared" si="0"/>
        <v/>
      </c>
      <c r="D11" s="189">
        <f t="shared" si="1"/>
        <v/>
      </c>
      <c r="E11" s="189">
        <f t="shared" si="2"/>
        <v/>
      </c>
      <c r="F11" s="189">
        <f t="shared" si="3"/>
        <v/>
      </c>
      <c r="G11" s="264"/>
    </row>
    <row r="12" spans="2:7" ht="15" customHeight="1">
      <c r="B12" s="262">
        <f t="shared" si="4"/>
        <v/>
      </c>
      <c r="C12" s="189">
        <f t="shared" si="0"/>
        <v/>
      </c>
      <c r="D12" s="189">
        <f t="shared" si="1"/>
        <v/>
      </c>
      <c r="E12" s="189">
        <f t="shared" si="2"/>
        <v/>
      </c>
      <c r="F12" s="189">
        <f t="shared" si="3"/>
        <v/>
      </c>
      <c r="G12" s="264"/>
    </row>
    <row r="13" spans="2:7" ht="15" customHeight="1">
      <c r="B13" s="262">
        <f t="shared" si="4"/>
        <v/>
      </c>
      <c r="C13" s="189">
        <f t="shared" si="0"/>
        <v/>
      </c>
      <c r="D13" s="189">
        <f t="shared" si="1"/>
        <v/>
      </c>
      <c r="E13" s="189">
        <f t="shared" si="2"/>
        <v/>
      </c>
      <c r="F13" s="189">
        <f t="shared" si="3"/>
        <v/>
      </c>
      <c r="G13" s="264"/>
    </row>
    <row r="14" spans="2:7" ht="15" customHeight="1">
      <c r="B14" s="262">
        <f t="shared" si="4"/>
        <v/>
      </c>
      <c r="C14" s="189">
        <f t="shared" si="0"/>
        <v/>
      </c>
      <c r="D14" s="189">
        <f t="shared" si="1"/>
        <v/>
      </c>
      <c r="E14" s="189">
        <f t="shared" si="2"/>
        <v/>
      </c>
      <c r="F14" s="189">
        <f t="shared" si="3"/>
        <v/>
      </c>
      <c r="G14" s="264"/>
    </row>
    <row r="15" spans="2:7" ht="15" customHeight="1">
      <c r="B15" s="262">
        <f t="shared" si="4"/>
        <v/>
      </c>
      <c r="C15" s="189">
        <f t="shared" si="0"/>
        <v/>
      </c>
      <c r="D15" s="189">
        <f t="shared" si="1"/>
        <v/>
      </c>
      <c r="E15" s="189">
        <f t="shared" si="2"/>
        <v/>
      </c>
      <c r="F15" s="189">
        <f t="shared" si="3"/>
        <v/>
      </c>
      <c r="G15" s="264"/>
    </row>
    <row r="16" spans="2:7" ht="15" customHeight="1">
      <c r="B16" s="262">
        <f t="shared" si="4"/>
        <v/>
      </c>
      <c r="C16" s="189">
        <f t="shared" si="0"/>
        <v/>
      </c>
      <c r="D16" s="189">
        <f t="shared" si="1"/>
        <v/>
      </c>
      <c r="E16" s="189">
        <f t="shared" si="2"/>
        <v/>
      </c>
      <c r="F16" s="189">
        <f t="shared" si="3"/>
        <v/>
      </c>
      <c r="G16" s="264"/>
    </row>
    <row r="17" spans="2:7" ht="15" customHeight="1">
      <c r="B17" s="262">
        <f t="shared" si="4"/>
        <v/>
      </c>
      <c r="C17" s="189">
        <f t="shared" si="0"/>
        <v/>
      </c>
      <c r="D17" s="189">
        <f t="shared" si="1"/>
        <v/>
      </c>
      <c r="E17" s="189">
        <f t="shared" si="2"/>
        <v/>
      </c>
      <c r="F17" s="189">
        <f t="shared" si="3"/>
        <v/>
      </c>
      <c r="G17" s="264"/>
    </row>
    <row r="18" spans="2:7" ht="15" customHeight="1">
      <c r="B18" s="262">
        <f t="shared" si="4"/>
        <v/>
      </c>
      <c r="C18" s="189">
        <f t="shared" si="0"/>
        <v/>
      </c>
      <c r="D18" s="189">
        <f t="shared" si="1"/>
        <v/>
      </c>
      <c r="E18" s="189">
        <f t="shared" si="2"/>
        <v/>
      </c>
      <c r="F18" s="189">
        <f t="shared" si="3"/>
        <v/>
      </c>
      <c r="G18" s="264"/>
    </row>
    <row r="19" spans="2:7" ht="15" customHeight="1">
      <c r="B19" s="262">
        <f t="shared" si="4"/>
        <v/>
      </c>
      <c r="C19" s="189">
        <f t="shared" si="0"/>
        <v/>
      </c>
      <c r="D19" s="189">
        <f t="shared" si="1"/>
        <v/>
      </c>
      <c r="E19" s="189">
        <f t="shared" si="2"/>
        <v/>
      </c>
      <c r="F19" s="189">
        <f t="shared" si="3"/>
        <v/>
      </c>
      <c r="G19" s="264"/>
    </row>
    <row r="20" spans="2:7" ht="15" customHeight="1">
      <c r="B20" s="262">
        <f t="shared" si="4"/>
        <v/>
      </c>
      <c r="C20" s="189">
        <f t="shared" si="0"/>
        <v/>
      </c>
      <c r="D20" s="189">
        <f t="shared" si="1"/>
        <v/>
      </c>
      <c r="E20" s="189">
        <f t="shared" si="2"/>
        <v/>
      </c>
      <c r="F20" s="189">
        <f t="shared" si="3"/>
        <v/>
      </c>
      <c r="G20" s="264"/>
    </row>
    <row r="21" spans="2:7" ht="15" customHeight="1">
      <c r="B21" s="262">
        <f t="shared" si="4"/>
        <v/>
      </c>
      <c r="C21" s="189">
        <f t="shared" si="0"/>
        <v/>
      </c>
      <c r="D21" s="189">
        <f t="shared" si="1"/>
        <v/>
      </c>
      <c r="E21" s="189">
        <f t="shared" si="2"/>
        <v/>
      </c>
      <c r="F21" s="189">
        <f t="shared" si="3"/>
        <v/>
      </c>
      <c r="G21" s="264"/>
    </row>
    <row r="22" spans="2:7" ht="15" customHeight="1">
      <c r="B22" s="262">
        <f t="shared" si="4"/>
        <v/>
      </c>
      <c r="C22" s="189">
        <f t="shared" si="0"/>
        <v/>
      </c>
      <c r="D22" s="189">
        <f t="shared" si="1"/>
        <v/>
      </c>
      <c r="E22" s="189">
        <f t="shared" si="2"/>
        <v/>
      </c>
      <c r="F22" s="189">
        <f t="shared" si="3"/>
        <v/>
      </c>
      <c r="G22" s="264"/>
    </row>
    <row r="23" spans="2:7" ht="15" customHeight="1">
      <c r="B23" s="262">
        <f t="shared" si="4"/>
        <v/>
      </c>
      <c r="C23" s="189">
        <f t="shared" si="0"/>
        <v/>
      </c>
      <c r="D23" s="189">
        <f t="shared" si="1"/>
        <v/>
      </c>
      <c r="E23" s="189">
        <f t="shared" si="2"/>
        <v/>
      </c>
      <c r="F23" s="189">
        <f t="shared" si="3"/>
        <v/>
      </c>
      <c r="G23" s="264"/>
    </row>
    <row r="24" spans="2:7" ht="15" customHeight="1">
      <c r="B24" s="262">
        <f t="shared" si="4"/>
        <v/>
      </c>
      <c r="C24" s="189">
        <f t="shared" si="0"/>
        <v/>
      </c>
      <c r="D24" s="189">
        <f t="shared" si="1"/>
        <v/>
      </c>
      <c r="E24" s="189">
        <f t="shared" si="2"/>
        <v/>
      </c>
      <c r="F24" s="189">
        <f t="shared" si="3"/>
        <v/>
      </c>
      <c r="G24" s="264"/>
    </row>
    <row r="25" spans="2:7" ht="15" customHeight="1">
      <c r="B25" s="262">
        <f t="shared" si="4"/>
        <v/>
      </c>
      <c r="C25" s="189">
        <f t="shared" si="0"/>
        <v/>
      </c>
      <c r="D25" s="189">
        <f t="shared" si="1"/>
        <v/>
      </c>
      <c r="E25" s="189">
        <f t="shared" si="2"/>
        <v/>
      </c>
      <c r="F25" s="189">
        <f t="shared" si="3"/>
        <v/>
      </c>
      <c r="G25" s="264"/>
    </row>
    <row r="26" spans="2:7" ht="15" customHeight="1">
      <c r="B26" s="262">
        <f t="shared" si="4"/>
        <v/>
      </c>
      <c r="C26" s="189">
        <f t="shared" si="0"/>
        <v/>
      </c>
      <c r="D26" s="189">
        <f t="shared" si="1"/>
        <v/>
      </c>
      <c r="E26" s="189">
        <f t="shared" si="2"/>
        <v/>
      </c>
      <c r="F26" s="189">
        <f t="shared" si="3"/>
        <v/>
      </c>
      <c r="G26" s="264"/>
    </row>
    <row r="27" spans="2:7" ht="15" customHeight="1">
      <c r="B27" s="262">
        <f t="shared" si="4"/>
        <v/>
      </c>
      <c r="C27" s="189">
        <f t="shared" si="0"/>
        <v/>
      </c>
      <c r="D27" s="189">
        <f t="shared" si="1"/>
        <v/>
      </c>
      <c r="E27" s="189">
        <f t="shared" si="2"/>
        <v/>
      </c>
      <c r="F27" s="189">
        <f t="shared" si="3"/>
        <v/>
      </c>
      <c r="G27" s="264"/>
    </row>
    <row r="28" spans="2:7" ht="15" customHeight="1">
      <c r="B28" s="262">
        <f t="shared" si="4"/>
        <v/>
      </c>
      <c r="C28" s="189">
        <f t="shared" si="0"/>
        <v/>
      </c>
      <c r="D28" s="189">
        <f t="shared" si="1"/>
        <v/>
      </c>
      <c r="E28" s="189">
        <f t="shared" si="2"/>
        <v/>
      </c>
      <c r="F28" s="189">
        <f t="shared" si="3"/>
        <v/>
      </c>
      <c r="G28" s="264"/>
    </row>
    <row r="29" spans="2:7" ht="15" customHeight="1">
      <c r="B29" s="262">
        <f t="shared" si="4"/>
        <v/>
      </c>
      <c r="C29" s="189">
        <f t="shared" si="0"/>
        <v/>
      </c>
      <c r="D29" s="189">
        <f t="shared" si="1"/>
        <v/>
      </c>
      <c r="E29" s="189">
        <f t="shared" si="2"/>
        <v/>
      </c>
      <c r="F29" s="189">
        <f t="shared" si="3"/>
        <v/>
      </c>
      <c r="G29" s="264"/>
    </row>
    <row r="30" spans="2:7" ht="15" customHeight="1">
      <c r="B30" s="262">
        <f t="shared" si="4"/>
        <v/>
      </c>
      <c r="C30" s="189">
        <f t="shared" si="0"/>
        <v/>
      </c>
      <c r="D30" s="189">
        <f t="shared" si="1"/>
        <v/>
      </c>
      <c r="E30" s="189">
        <f t="shared" si="2"/>
        <v/>
      </c>
      <c r="F30" s="189">
        <f t="shared" si="3"/>
        <v/>
      </c>
      <c r="G30" s="401"/>
    </row>
    <row r="31" spans="2:7" ht="15" customHeight="1">
      <c r="B31" s="262">
        <f t="shared" si="4"/>
        <v/>
      </c>
      <c r="C31" s="189">
        <f t="shared" si="0"/>
        <v/>
      </c>
      <c r="D31" s="189">
        <f t="shared" si="1"/>
        <v/>
      </c>
      <c r="E31" s="189">
        <f t="shared" si="2"/>
        <v/>
      </c>
      <c r="F31" s="189">
        <f t="shared" si="3"/>
        <v/>
      </c>
      <c r="G31" s="401"/>
    </row>
    <row r="32" spans="2:7" ht="15" customHeight="1" thickBot="1">
      <c r="B32" s="265">
        <f t="shared" si="4"/>
        <v/>
      </c>
      <c r="C32" s="266">
        <f t="shared" si="0"/>
        <v/>
      </c>
      <c r="D32" s="266">
        <f t="shared" si="1"/>
        <v/>
      </c>
      <c r="E32" s="266">
        <f t="shared" si="2"/>
        <v/>
      </c>
      <c r="F32" s="266">
        <f t="shared" si="3"/>
        <v/>
      </c>
      <c r="G32" s="267"/>
    </row>
    <row r="33" spans="2:8" ht="15" customHeight="1">
      <c r="B33" s="333"/>
      <c r="C33" s="334"/>
      <c r="D33" s="334"/>
      <c r="E33" s="334"/>
      <c r="F33" s="334"/>
      <c r="G33" s="145"/>
    </row>
    <row r="34" spans="2:8" ht="15" customHeight="1"/>
    <row r="35" spans="2:8" ht="20.100000000000001" customHeight="1">
      <c r="B35" s="544" t="s">
        <v>109</v>
      </c>
      <c r="C35" s="544"/>
      <c r="D35" s="544"/>
    </row>
    <row r="36" spans="2:8" ht="15" customHeight="1" thickBot="1">
      <c r="B36" s="54"/>
      <c r="C36" s="54"/>
      <c r="D36" s="54"/>
      <c r="G36" s="46" t="s">
        <v>110</v>
      </c>
    </row>
    <row r="37" spans="2:8" ht="30" customHeight="1">
      <c r="B37" s="185" t="s">
        <v>111</v>
      </c>
      <c r="C37" s="184" t="s">
        <v>112</v>
      </c>
      <c r="D37" s="184" t="s">
        <v>113</v>
      </c>
      <c r="E37" s="184" t="s">
        <v>114</v>
      </c>
      <c r="F37" s="184" t="s">
        <v>115</v>
      </c>
      <c r="G37" s="94" t="s">
        <v>116</v>
      </c>
    </row>
    <row r="38" spans="2:8" ht="30" customHeight="1" thickBot="1">
      <c r="B38" s="48"/>
      <c r="C38" s="83"/>
      <c r="D38" s="23">
        <f>'3.투자계획'!F8</f>
        <v/>
      </c>
      <c r="E38" s="83"/>
      <c r="F38" s="402"/>
      <c r="G38" s="162">
        <f>-PMT(F38,20,D38,0,0)</f>
        <v/>
      </c>
      <c r="H38" s="409" t="s">
        <v>117</v>
      </c>
    </row>
    <row r="39" spans="2:8" ht="15" customHeight="1" thickBot="1">
      <c r="D39" s="6"/>
      <c r="F39" s="7"/>
      <c r="G39" s="46" t="s">
        <v>110</v>
      </c>
    </row>
    <row r="40" spans="2:8" ht="15" customHeight="1">
      <c r="B40" s="547" t="s">
        <v>118</v>
      </c>
      <c r="C40" s="540" t="s">
        <v>119</v>
      </c>
      <c r="D40" s="540" t="s">
        <v>120</v>
      </c>
      <c r="E40" s="540"/>
      <c r="F40" s="540"/>
      <c r="G40" s="536" t="s">
        <v>24</v>
      </c>
    </row>
    <row r="41" spans="2:8" ht="15" customHeight="1" thickBot="1">
      <c r="B41" s="548"/>
      <c r="C41" s="551"/>
      <c r="D41" s="408" t="s">
        <v>121</v>
      </c>
      <c r="E41" s="408" t="s">
        <v>122</v>
      </c>
      <c r="F41" s="408" t="s">
        <v>123</v>
      </c>
      <c r="G41" s="537"/>
    </row>
    <row r="42" spans="2:8" ht="15" customHeight="1">
      <c r="B42" s="403">
        <f>B8</f>
        <v/>
      </c>
      <c r="C42" s="404">
        <f>D38</f>
        <v/>
      </c>
      <c r="D42" s="405">
        <f>C42*$F$38</f>
        <v/>
      </c>
      <c r="E42" s="406"/>
      <c r="F42" s="380">
        <f>D42+E42</f>
        <v/>
      </c>
      <c r="G42" s="407"/>
    </row>
    <row r="43" spans="2:8" ht="15" customHeight="1">
      <c r="B43" s="262">
        <f t="shared" ref="B43:B66" si="5">B9</f>
        <v/>
      </c>
      <c r="C43" s="142">
        <f>C42</f>
        <v/>
      </c>
      <c r="D43" s="186">
        <f t="shared" ref="D43:D46" si="6">C43*$F$38</f>
        <v/>
      </c>
      <c r="E43" s="142"/>
      <c r="F43" s="142">
        <f>D43+E43</f>
        <v/>
      </c>
      <c r="G43" s="263"/>
    </row>
    <row r="44" spans="2:8" ht="15" customHeight="1">
      <c r="B44" s="262">
        <f t="shared" si="5"/>
        <v/>
      </c>
      <c r="C44" s="142">
        <f t="shared" ref="C44:C47" si="7">C43</f>
        <v/>
      </c>
      <c r="D44" s="186">
        <f t="shared" si="6"/>
        <v/>
      </c>
      <c r="E44" s="142"/>
      <c r="F44" s="142">
        <f>D44+E44</f>
        <v/>
      </c>
      <c r="G44" s="263"/>
    </row>
    <row r="45" spans="2:8" ht="15" customHeight="1">
      <c r="B45" s="262">
        <f t="shared" si="5"/>
        <v/>
      </c>
      <c r="C45" s="142">
        <f t="shared" si="7"/>
        <v/>
      </c>
      <c r="D45" s="186">
        <f t="shared" si="6"/>
        <v/>
      </c>
      <c r="E45" s="268"/>
      <c r="F45" s="142">
        <f>D45+E45</f>
        <v/>
      </c>
      <c r="G45" s="263"/>
    </row>
    <row r="46" spans="2:8" ht="15" customHeight="1">
      <c r="B46" s="262">
        <f t="shared" si="5"/>
        <v/>
      </c>
      <c r="C46" s="142">
        <f t="shared" si="7"/>
        <v/>
      </c>
      <c r="D46" s="186">
        <f t="shared" si="6"/>
        <v/>
      </c>
      <c r="E46" s="268"/>
      <c r="F46" s="142">
        <f>D46+E46</f>
        <v/>
      </c>
      <c r="G46" s="263"/>
    </row>
    <row r="47" spans="2:8" ht="15" customHeight="1">
      <c r="B47" s="262">
        <f t="shared" si="5"/>
        <v/>
      </c>
      <c r="C47" s="142">
        <f t="shared" si="7"/>
        <v/>
      </c>
      <c r="D47" s="186">
        <f>C47*$F$38</f>
        <v/>
      </c>
      <c r="E47" s="268">
        <f>F47-D47</f>
        <v/>
      </c>
      <c r="F47" s="142">
        <f>G38</f>
        <v/>
      </c>
      <c r="G47" s="263"/>
    </row>
    <row r="48" spans="2:8" ht="15" customHeight="1">
      <c r="B48" s="262">
        <f t="shared" si="5"/>
        <v/>
      </c>
      <c r="C48" s="186">
        <f>C47-E47</f>
        <v/>
      </c>
      <c r="D48" s="186">
        <f t="shared" ref="D48:D66" si="8">C48*$F$38</f>
        <v/>
      </c>
      <c r="E48" s="268">
        <f t="shared" ref="E48:E66" si="9">F48-D48</f>
        <v/>
      </c>
      <c r="F48" s="142">
        <f>F47</f>
        <v/>
      </c>
      <c r="G48" s="263"/>
    </row>
    <row r="49" spans="2:7" ht="15" customHeight="1">
      <c r="B49" s="262">
        <f t="shared" si="5"/>
        <v/>
      </c>
      <c r="C49" s="186">
        <f t="shared" ref="C49:C66" si="10">C48-E48</f>
        <v/>
      </c>
      <c r="D49" s="186">
        <f t="shared" si="8"/>
        <v/>
      </c>
      <c r="E49" s="268">
        <f t="shared" si="9"/>
        <v/>
      </c>
      <c r="F49" s="142">
        <f t="shared" ref="F49:F66" si="11">F48</f>
        <v/>
      </c>
      <c r="G49" s="263"/>
    </row>
    <row r="50" spans="2:7" ht="15" customHeight="1">
      <c r="B50" s="262">
        <f t="shared" si="5"/>
        <v/>
      </c>
      <c r="C50" s="186">
        <f t="shared" si="10"/>
        <v/>
      </c>
      <c r="D50" s="186">
        <f t="shared" si="8"/>
        <v/>
      </c>
      <c r="E50" s="268">
        <f t="shared" si="9"/>
        <v/>
      </c>
      <c r="F50" s="142">
        <f t="shared" si="11"/>
        <v/>
      </c>
      <c r="G50" s="263"/>
    </row>
    <row r="51" spans="2:7" ht="15" customHeight="1">
      <c r="B51" s="262">
        <f t="shared" si="5"/>
        <v/>
      </c>
      <c r="C51" s="186">
        <f t="shared" si="10"/>
        <v/>
      </c>
      <c r="D51" s="186">
        <f t="shared" si="8"/>
        <v/>
      </c>
      <c r="E51" s="268">
        <f t="shared" si="9"/>
        <v/>
      </c>
      <c r="F51" s="142">
        <f t="shared" si="11"/>
        <v/>
      </c>
      <c r="G51" s="263"/>
    </row>
    <row r="52" spans="2:7" ht="15" customHeight="1">
      <c r="B52" s="262">
        <f t="shared" si="5"/>
        <v/>
      </c>
      <c r="C52" s="186">
        <f t="shared" si="10"/>
        <v/>
      </c>
      <c r="D52" s="186">
        <f t="shared" si="8"/>
        <v/>
      </c>
      <c r="E52" s="268">
        <f t="shared" si="9"/>
        <v/>
      </c>
      <c r="F52" s="142">
        <f t="shared" si="11"/>
        <v/>
      </c>
      <c r="G52" s="263"/>
    </row>
    <row r="53" spans="2:7" ht="15" customHeight="1">
      <c r="B53" s="262">
        <f t="shared" si="5"/>
        <v/>
      </c>
      <c r="C53" s="186">
        <f t="shared" si="10"/>
        <v/>
      </c>
      <c r="D53" s="186">
        <f t="shared" si="8"/>
        <v/>
      </c>
      <c r="E53" s="268">
        <f t="shared" si="9"/>
        <v/>
      </c>
      <c r="F53" s="142">
        <f t="shared" si="11"/>
        <v/>
      </c>
      <c r="G53" s="263"/>
    </row>
    <row r="54" spans="2:7" ht="15" customHeight="1">
      <c r="B54" s="262">
        <f t="shared" si="5"/>
        <v/>
      </c>
      <c r="C54" s="186">
        <f t="shared" si="10"/>
        <v/>
      </c>
      <c r="D54" s="186">
        <f t="shared" si="8"/>
        <v/>
      </c>
      <c r="E54" s="268">
        <f t="shared" si="9"/>
        <v/>
      </c>
      <c r="F54" s="142">
        <f t="shared" si="11"/>
        <v/>
      </c>
      <c r="G54" s="263"/>
    </row>
    <row r="55" spans="2:7" ht="15" customHeight="1">
      <c r="B55" s="262">
        <f t="shared" si="5"/>
        <v/>
      </c>
      <c r="C55" s="186">
        <f t="shared" si="10"/>
        <v/>
      </c>
      <c r="D55" s="186">
        <f t="shared" si="8"/>
        <v/>
      </c>
      <c r="E55" s="268">
        <f t="shared" si="9"/>
        <v/>
      </c>
      <c r="F55" s="142">
        <f t="shared" si="11"/>
        <v/>
      </c>
      <c r="G55" s="263"/>
    </row>
    <row r="56" spans="2:7" ht="15" customHeight="1">
      <c r="B56" s="262">
        <f t="shared" si="5"/>
        <v/>
      </c>
      <c r="C56" s="186">
        <f t="shared" si="10"/>
        <v/>
      </c>
      <c r="D56" s="186">
        <f t="shared" si="8"/>
        <v/>
      </c>
      <c r="E56" s="268">
        <f t="shared" si="9"/>
        <v/>
      </c>
      <c r="F56" s="142">
        <f t="shared" si="11"/>
        <v/>
      </c>
      <c r="G56" s="263"/>
    </row>
    <row r="57" spans="2:7" ht="15" customHeight="1">
      <c r="B57" s="262">
        <f t="shared" si="5"/>
        <v/>
      </c>
      <c r="C57" s="186">
        <f t="shared" si="10"/>
        <v/>
      </c>
      <c r="D57" s="186">
        <f t="shared" si="8"/>
        <v/>
      </c>
      <c r="E57" s="268">
        <f t="shared" si="9"/>
        <v/>
      </c>
      <c r="F57" s="142">
        <f t="shared" si="11"/>
        <v/>
      </c>
      <c r="G57" s="263"/>
    </row>
    <row r="58" spans="2:7" ht="15" customHeight="1">
      <c r="B58" s="262">
        <f t="shared" si="5"/>
        <v/>
      </c>
      <c r="C58" s="186">
        <f t="shared" si="10"/>
        <v/>
      </c>
      <c r="D58" s="186">
        <f t="shared" si="8"/>
        <v/>
      </c>
      <c r="E58" s="268">
        <f t="shared" si="9"/>
        <v/>
      </c>
      <c r="F58" s="142">
        <f t="shared" si="11"/>
        <v/>
      </c>
      <c r="G58" s="263"/>
    </row>
    <row r="59" spans="2:7" ht="15" customHeight="1">
      <c r="B59" s="262">
        <f t="shared" si="5"/>
        <v/>
      </c>
      <c r="C59" s="186">
        <f t="shared" si="10"/>
        <v/>
      </c>
      <c r="D59" s="186">
        <f t="shared" si="8"/>
        <v/>
      </c>
      <c r="E59" s="268">
        <f t="shared" si="9"/>
        <v/>
      </c>
      <c r="F59" s="142">
        <f t="shared" si="11"/>
        <v/>
      </c>
      <c r="G59" s="263"/>
    </row>
    <row r="60" spans="2:7" ht="15" customHeight="1">
      <c r="B60" s="262">
        <f t="shared" si="5"/>
        <v/>
      </c>
      <c r="C60" s="186">
        <f t="shared" si="10"/>
        <v/>
      </c>
      <c r="D60" s="186">
        <f t="shared" si="8"/>
        <v/>
      </c>
      <c r="E60" s="268">
        <f t="shared" si="9"/>
        <v/>
      </c>
      <c r="F60" s="142">
        <f t="shared" si="11"/>
        <v/>
      </c>
      <c r="G60" s="263"/>
    </row>
    <row r="61" spans="2:7" ht="15" customHeight="1">
      <c r="B61" s="262">
        <f t="shared" si="5"/>
        <v/>
      </c>
      <c r="C61" s="186">
        <f t="shared" si="10"/>
        <v/>
      </c>
      <c r="D61" s="186">
        <f t="shared" si="8"/>
        <v/>
      </c>
      <c r="E61" s="268">
        <f t="shared" si="9"/>
        <v/>
      </c>
      <c r="F61" s="142">
        <f t="shared" si="11"/>
        <v/>
      </c>
      <c r="G61" s="263"/>
    </row>
    <row r="62" spans="2:7" ht="15" customHeight="1">
      <c r="B62" s="262">
        <f t="shared" si="5"/>
        <v/>
      </c>
      <c r="C62" s="186">
        <f t="shared" si="10"/>
        <v/>
      </c>
      <c r="D62" s="186">
        <f t="shared" si="8"/>
        <v/>
      </c>
      <c r="E62" s="268">
        <f t="shared" si="9"/>
        <v/>
      </c>
      <c r="F62" s="142">
        <f t="shared" si="11"/>
        <v/>
      </c>
      <c r="G62" s="323"/>
    </row>
    <row r="63" spans="2:7" ht="15" customHeight="1">
      <c r="B63" s="262">
        <f t="shared" si="5"/>
        <v/>
      </c>
      <c r="C63" s="186">
        <f t="shared" si="10"/>
        <v/>
      </c>
      <c r="D63" s="186">
        <f t="shared" si="8"/>
        <v/>
      </c>
      <c r="E63" s="268">
        <f t="shared" si="9"/>
        <v/>
      </c>
      <c r="F63" s="142">
        <f t="shared" si="11"/>
        <v/>
      </c>
      <c r="G63" s="323"/>
    </row>
    <row r="64" spans="2:7" ht="15" customHeight="1">
      <c r="B64" s="262">
        <f t="shared" si="5"/>
        <v/>
      </c>
      <c r="C64" s="186">
        <f t="shared" si="10"/>
        <v/>
      </c>
      <c r="D64" s="186">
        <f t="shared" si="8"/>
        <v/>
      </c>
      <c r="E64" s="268">
        <f t="shared" si="9"/>
        <v/>
      </c>
      <c r="F64" s="142">
        <f t="shared" si="11"/>
        <v/>
      </c>
      <c r="G64" s="323"/>
    </row>
    <row r="65" spans="2:7" ht="15" customHeight="1">
      <c r="B65" s="262">
        <f t="shared" si="5"/>
        <v/>
      </c>
      <c r="C65" s="186">
        <f t="shared" si="10"/>
        <v/>
      </c>
      <c r="D65" s="186">
        <f t="shared" si="8"/>
        <v/>
      </c>
      <c r="E65" s="268">
        <f t="shared" si="9"/>
        <v/>
      </c>
      <c r="F65" s="142">
        <f t="shared" si="11"/>
        <v/>
      </c>
      <c r="G65" s="323"/>
    </row>
    <row r="66" spans="2:7" ht="14.45" customHeight="1" thickBot="1">
      <c r="B66" s="265">
        <f t="shared" si="5"/>
        <v/>
      </c>
      <c r="C66" s="188">
        <f t="shared" si="10"/>
        <v/>
      </c>
      <c r="D66" s="188">
        <f t="shared" si="8"/>
        <v/>
      </c>
      <c r="E66" s="269">
        <f t="shared" si="9"/>
        <v/>
      </c>
      <c r="F66" s="410">
        <f t="shared" si="11"/>
        <v/>
      </c>
      <c r="G66" s="324"/>
    </row>
    <row r="67" spans="2:7" ht="15" customHeight="1">
      <c r="E67" s="322"/>
    </row>
    <row r="68" spans="2:7" ht="20.100000000000001" customHeight="1"/>
    <row r="69" spans="2:7" ht="15" customHeight="1"/>
    <row r="73" spans="2:7" ht="15" customHeight="1"/>
    <row r="74" spans="2:7" ht="20.100000000000001" customHeight="1"/>
    <row r="75" spans="2:7" ht="15" customHeight="1"/>
    <row r="79" spans="2:7" ht="15" customHeight="1"/>
    <row r="80" spans="2:7" ht="20.100000000000001" customHeight="1"/>
    <row r="81" ht="15" customHeight="1"/>
  </sheetData>
  <mergeCells count="12">
    <mergeCell ref="G40:G41"/>
    <mergeCell ref="G6:G7"/>
    <mergeCell ref="D6:E6"/>
    <mergeCell ref="F6:F7"/>
    <mergeCell ref="B2:D2"/>
    <mergeCell ref="B4:D4"/>
    <mergeCell ref="B6:B7"/>
    <mergeCell ref="B35:D35"/>
    <mergeCell ref="B40:B41"/>
    <mergeCell ref="C6:C7"/>
    <mergeCell ref="C40:C41"/>
    <mergeCell ref="D40:F40"/>
  </mergeCells>
  <phoneticPr fontId="2" type="noConversion"/>
  <pageMargins left="0.7" right="0.7" top="0.75" bottom="0.75" header="0.3" footer="0.3"/>
  <pageSetup paperSize="9" scale="8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1:U65"/>
  <sheetViews>
    <sheetView showGridLines="0" topLeftCell="A5" zoomScaleNormal="100" zoomScaleSheetLayoutView="115" workbookViewId="0">
      <selection activeCell="R43" sqref="R43"/>
    </sheetView>
  </sheetViews>
  <sheetFormatPr defaultColWidth="8.88671875" defaultRowHeight="13.5"/>
  <cols>
    <col min="1" max="1" width="5.5546875" style="66" customWidth="1"/>
    <col min="2" max="2" width="20.6640625" style="66" customWidth="1"/>
    <col min="3" max="3" width="10.44140625" style="66" customWidth="1"/>
    <col min="4" max="14" width="10.5546875" style="66" customWidth="1"/>
    <col min="15" max="15" width="20.5546875" style="66" customWidth="1"/>
    <col min="16" max="17" width="8.88671875" style="66"/>
    <col min="18" max="18" width="8.109375" style="66" customWidth="1"/>
    <col min="19" max="16384" width="8.88671875" style="66"/>
  </cols>
  <sheetData>
    <row r="1" spans="2:15" ht="15" customHeight="1"/>
    <row r="2" spans="2:15" s="63" customFormat="1" ht="24.95" customHeight="1">
      <c r="B2" s="564" t="s">
        <v>124</v>
      </c>
      <c r="C2" s="564"/>
      <c r="D2" s="564"/>
      <c r="E2" s="564"/>
    </row>
    <row r="3" spans="2:15" s="63" customFormat="1" ht="15" customHeight="1">
      <c r="B3" s="64"/>
    </row>
    <row r="4" spans="2:15" s="63" customFormat="1" ht="20.100000000000001" customHeight="1">
      <c r="B4" s="95" t="s">
        <v>125</v>
      </c>
    </row>
    <row r="5" spans="2:15" s="63" customFormat="1" ht="15" customHeight="1" thickBot="1">
      <c r="B5" s="65"/>
      <c r="C5" s="66"/>
      <c r="D5" s="66"/>
      <c r="E5" s="29"/>
      <c r="F5" s="66"/>
      <c r="G5" s="66"/>
      <c r="H5" s="66"/>
      <c r="I5" s="66"/>
      <c r="J5" s="66"/>
      <c r="K5" s="66"/>
      <c r="L5" s="66"/>
      <c r="M5" s="66"/>
      <c r="N5" s="66"/>
      <c r="O5" s="67" t="s">
        <v>126</v>
      </c>
    </row>
    <row r="6" spans="2:15" s="63" customFormat="1" ht="15" customHeight="1" thickBot="1">
      <c r="B6" s="301" t="s">
        <v>127</v>
      </c>
      <c r="C6" s="565" t="s">
        <v>128</v>
      </c>
      <c r="D6" s="566"/>
      <c r="E6" s="565">
        <f t="shared" ref="E6" si="0">G6-1</f>
        <v/>
      </c>
      <c r="F6" s="566"/>
      <c r="G6" s="565">
        <f t="shared" ref="G6" si="1">I6-1</f>
        <v/>
      </c>
      <c r="H6" s="566"/>
      <c r="I6" s="565">
        <f t="shared" ref="I6" si="2">K6-1</f>
        <v/>
      </c>
      <c r="J6" s="566"/>
      <c r="K6" s="565">
        <f>M6-1</f>
        <v/>
      </c>
      <c r="L6" s="566"/>
      <c r="M6" s="565"/>
      <c r="N6" s="566"/>
      <c r="O6" s="302" t="s">
        <v>129</v>
      </c>
    </row>
    <row r="7" spans="2:15" s="63" customFormat="1" ht="15" customHeight="1">
      <c r="B7" s="593" t="s">
        <v>130</v>
      </c>
      <c r="C7" s="554" t="s">
        <v>131</v>
      </c>
      <c r="D7" s="555"/>
      <c r="E7" s="558"/>
      <c r="F7" s="559"/>
      <c r="G7" s="558"/>
      <c r="H7" s="559"/>
      <c r="I7" s="558"/>
      <c r="J7" s="559"/>
      <c r="K7" s="558"/>
      <c r="L7" s="559"/>
      <c r="M7" s="558"/>
      <c r="N7" s="559"/>
      <c r="O7" s="411">
        <f>AVERAGE(E7:N9)</f>
        <v/>
      </c>
    </row>
    <row r="8" spans="2:15" s="63" customFormat="1" ht="15" customHeight="1">
      <c r="B8" s="594"/>
      <c r="C8" s="560" t="s">
        <v>132</v>
      </c>
      <c r="D8" s="561"/>
      <c r="E8" s="562"/>
      <c r="F8" s="563"/>
      <c r="G8" s="562"/>
      <c r="H8" s="563"/>
      <c r="I8" s="562"/>
      <c r="J8" s="563"/>
      <c r="K8" s="562"/>
      <c r="L8" s="563"/>
      <c r="M8" s="562"/>
      <c r="N8" s="563"/>
      <c r="O8" s="413"/>
    </row>
    <row r="9" spans="2:15" s="63" customFormat="1" ht="15" customHeight="1" thickBot="1">
      <c r="B9" s="595"/>
      <c r="C9" s="556" t="s">
        <v>133</v>
      </c>
      <c r="D9" s="557"/>
      <c r="E9" s="552"/>
      <c r="F9" s="553"/>
      <c r="G9" s="552"/>
      <c r="H9" s="553"/>
      <c r="I9" s="552"/>
      <c r="J9" s="553"/>
      <c r="K9" s="552"/>
      <c r="L9" s="553"/>
      <c r="M9" s="552"/>
      <c r="N9" s="553"/>
      <c r="O9" s="412"/>
    </row>
    <row r="10" spans="2:15" s="63" customFormat="1" ht="15" customHeight="1" thickBot="1">
      <c r="B10" s="422" t="s">
        <v>90</v>
      </c>
      <c r="C10" s="620" t="s">
        <v>134</v>
      </c>
      <c r="D10" s="621"/>
      <c r="E10" s="615"/>
      <c r="F10" s="616"/>
      <c r="G10" s="615"/>
      <c r="H10" s="616"/>
      <c r="I10" s="615"/>
      <c r="J10" s="616"/>
      <c r="K10" s="615"/>
      <c r="L10" s="616"/>
      <c r="M10" s="615"/>
      <c r="N10" s="616"/>
      <c r="O10" s="303" t="s">
        <v>135</v>
      </c>
    </row>
    <row r="11" spans="2:15" s="63" customFormat="1" ht="15" customHeight="1">
      <c r="B11" s="590" t="s">
        <v>136</v>
      </c>
      <c r="C11" s="554" t="s">
        <v>131</v>
      </c>
      <c r="D11" s="555"/>
      <c r="E11" s="558"/>
      <c r="F11" s="559"/>
      <c r="G11" s="558"/>
      <c r="H11" s="559"/>
      <c r="I11" s="558"/>
      <c r="J11" s="559"/>
      <c r="K11" s="558"/>
      <c r="L11" s="559"/>
      <c r="M11" s="558"/>
      <c r="N11" s="559"/>
      <c r="O11" s="414">
        <f>AVERAGE(E11:N13)</f>
        <v/>
      </c>
    </row>
    <row r="12" spans="2:15" ht="15" customHeight="1">
      <c r="B12" s="591"/>
      <c r="C12" s="560"/>
      <c r="D12" s="561"/>
      <c r="E12" s="562"/>
      <c r="F12" s="563"/>
      <c r="G12" s="562"/>
      <c r="H12" s="563"/>
      <c r="I12" s="562"/>
      <c r="J12" s="563"/>
      <c r="K12" s="562"/>
      <c r="L12" s="563"/>
      <c r="M12" s="562"/>
      <c r="N12" s="563"/>
      <c r="O12" s="415"/>
    </row>
    <row r="13" spans="2:15" ht="20.100000000000001" customHeight="1" thickBot="1">
      <c r="B13" s="592"/>
      <c r="C13" s="556"/>
      <c r="D13" s="557"/>
      <c r="E13" s="552"/>
      <c r="F13" s="553"/>
      <c r="G13" s="552"/>
      <c r="H13" s="553"/>
      <c r="I13" s="552"/>
      <c r="J13" s="553"/>
      <c r="K13" s="552"/>
      <c r="L13" s="553"/>
      <c r="M13" s="552"/>
      <c r="N13" s="553"/>
      <c r="O13" s="416"/>
    </row>
    <row r="14" spans="2:15" ht="15" customHeight="1">
      <c r="B14" s="572"/>
      <c r="C14" s="572"/>
      <c r="D14" s="572"/>
      <c r="E14" s="572"/>
      <c r="F14" s="572"/>
      <c r="G14" s="572"/>
      <c r="H14" s="572"/>
      <c r="I14" s="572"/>
      <c r="J14" s="572"/>
      <c r="K14" s="572"/>
      <c r="L14" s="572"/>
      <c r="M14" s="572"/>
      <c r="N14" s="572"/>
      <c r="O14" s="572"/>
    </row>
    <row r="15" spans="2:15" ht="15" customHeight="1">
      <c r="B15" s="577"/>
      <c r="C15" s="577"/>
      <c r="D15" s="577"/>
      <c r="E15" s="577"/>
      <c r="F15" s="577"/>
      <c r="G15" s="577"/>
      <c r="H15" s="577"/>
      <c r="I15" s="577"/>
      <c r="J15" s="577"/>
      <c r="K15" s="577"/>
      <c r="L15" s="577"/>
      <c r="M15" s="577"/>
      <c r="N15" s="577"/>
      <c r="O15" s="577"/>
    </row>
    <row r="16" spans="2:15" ht="15" customHeight="1">
      <c r="B16" s="68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</row>
    <row r="17" spans="2:21" ht="20.100000000000001" customHeight="1">
      <c r="B17" s="95" t="s">
        <v>137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</row>
    <row r="18" spans="2:21" ht="15" customHeight="1" thickBot="1">
      <c r="B18" s="68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67" t="s">
        <v>138</v>
      </c>
    </row>
    <row r="19" spans="2:21" ht="15" customHeight="1">
      <c r="B19" s="596" t="s">
        <v>139</v>
      </c>
      <c r="C19" s="565" t="s">
        <v>128</v>
      </c>
      <c r="D19" s="539"/>
      <c r="E19" s="619"/>
      <c r="F19" s="539"/>
      <c r="G19" s="619"/>
      <c r="H19" s="539"/>
      <c r="I19" s="619"/>
      <c r="J19" s="539"/>
      <c r="K19" s="619"/>
      <c r="L19" s="539"/>
      <c r="M19" s="619"/>
      <c r="N19" s="578" t="s">
        <v>140</v>
      </c>
      <c r="O19" s="579"/>
    </row>
    <row r="20" spans="2:21" ht="20.100000000000001" customHeight="1">
      <c r="B20" s="597"/>
      <c r="C20" s="575"/>
      <c r="D20" s="617" t="s">
        <v>141</v>
      </c>
      <c r="E20" s="584" t="s">
        <v>142</v>
      </c>
      <c r="F20" s="617" t="s">
        <v>141</v>
      </c>
      <c r="G20" s="584" t="s">
        <v>142</v>
      </c>
      <c r="H20" s="617" t="s">
        <v>141</v>
      </c>
      <c r="I20" s="584" t="s">
        <v>142</v>
      </c>
      <c r="J20" s="617" t="s">
        <v>141</v>
      </c>
      <c r="K20" s="584" t="s">
        <v>142</v>
      </c>
      <c r="L20" s="617" t="s">
        <v>141</v>
      </c>
      <c r="M20" s="584" t="s">
        <v>142</v>
      </c>
      <c r="N20" s="580"/>
      <c r="O20" s="581"/>
    </row>
    <row r="21" spans="2:21" ht="20.100000000000001" customHeight="1">
      <c r="B21" s="598"/>
      <c r="C21" s="576"/>
      <c r="D21" s="618"/>
      <c r="E21" s="585"/>
      <c r="F21" s="618"/>
      <c r="G21" s="585"/>
      <c r="H21" s="618"/>
      <c r="I21" s="585"/>
      <c r="J21" s="618"/>
      <c r="K21" s="585"/>
      <c r="L21" s="618"/>
      <c r="M21" s="585"/>
      <c r="N21" s="582"/>
      <c r="O21" s="583"/>
      <c r="R21" s="296"/>
    </row>
    <row r="22" spans="2:21" ht="24.75" customHeight="1">
      <c r="B22" s="567" t="s">
        <v>143</v>
      </c>
      <c r="C22" s="381" t="s">
        <v>144</v>
      </c>
      <c r="D22" s="252"/>
      <c r="E22" s="246">
        <f>D22*'6. 생산계획'!$H$9</f>
        <v/>
      </c>
      <c r="F22" s="252"/>
      <c r="G22" s="246">
        <f>F22*'6. 생산계획'!$K$9</f>
        <v/>
      </c>
      <c r="H22" s="252"/>
      <c r="I22" s="246">
        <f>H22*'6. 생산계획'!$N$9</f>
        <v/>
      </c>
      <c r="J22" s="252"/>
      <c r="K22" s="246">
        <f>J22*'6. 생산계획'!$Q$9</f>
        <v/>
      </c>
      <c r="L22" s="252"/>
      <c r="M22" s="246">
        <f>L22*'6. 생산계획'!$T$9</f>
        <v/>
      </c>
      <c r="N22" s="586"/>
      <c r="O22" s="587"/>
    </row>
    <row r="23" spans="2:21" ht="24.75" customHeight="1">
      <c r="B23" s="568"/>
      <c r="C23" s="381" t="s">
        <v>145</v>
      </c>
      <c r="D23" s="252"/>
      <c r="E23" s="246">
        <f>D23*'6. 생산계획'!$H$9</f>
        <v/>
      </c>
      <c r="F23" s="252"/>
      <c r="G23" s="246">
        <f>F23*'6. 생산계획'!$K$9</f>
        <v/>
      </c>
      <c r="H23" s="252"/>
      <c r="I23" s="246">
        <f>H23*'6. 생산계획'!$N$9</f>
        <v/>
      </c>
      <c r="J23" s="252"/>
      <c r="K23" s="246">
        <f>J23*'6. 생산계획'!$Q$9</f>
        <v/>
      </c>
      <c r="L23" s="252"/>
      <c r="M23" s="246">
        <f>L23*'6. 생산계획'!$T$9</f>
        <v/>
      </c>
      <c r="N23" s="588"/>
      <c r="O23" s="589"/>
    </row>
    <row r="24" spans="2:21" ht="24.75" customHeight="1">
      <c r="B24" s="568"/>
      <c r="C24" s="381" t="s">
        <v>146</v>
      </c>
      <c r="D24" s="252"/>
      <c r="E24" s="246">
        <f>D24*'6. 생산계획'!$H$9</f>
        <v/>
      </c>
      <c r="F24" s="252"/>
      <c r="G24" s="246">
        <f>F24*'6. 생산계획'!$K$9</f>
        <v/>
      </c>
      <c r="H24" s="252"/>
      <c r="I24" s="246">
        <f>H24*'6. 생산계획'!$N$9</f>
        <v/>
      </c>
      <c r="J24" s="252"/>
      <c r="K24" s="246">
        <f>J24*'6. 생산계획'!$Q$9</f>
        <v/>
      </c>
      <c r="L24" s="252"/>
      <c r="M24" s="246">
        <f>L24*'6. 생산계획'!$T$9</f>
        <v/>
      </c>
      <c r="N24" s="588"/>
      <c r="O24" s="589"/>
    </row>
    <row r="25" spans="2:21" ht="24.75" customHeight="1">
      <c r="B25" s="569"/>
      <c r="C25" s="381" t="s">
        <v>96</v>
      </c>
      <c r="D25" s="252">
        <f t="shared" ref="D25:M25" si="3">SUM(D22:D24)</f>
        <v/>
      </c>
      <c r="E25" s="246">
        <f t="shared" si="3"/>
        <v/>
      </c>
      <c r="F25" s="252">
        <f t="shared" si="3"/>
        <v/>
      </c>
      <c r="G25" s="246">
        <f t="shared" si="3"/>
        <v/>
      </c>
      <c r="H25" s="252">
        <f t="shared" si="3"/>
        <v/>
      </c>
      <c r="I25" s="246">
        <f t="shared" si="3"/>
        <v/>
      </c>
      <c r="J25" s="252">
        <f t="shared" si="3"/>
        <v/>
      </c>
      <c r="K25" s="246">
        <f t="shared" si="3"/>
        <v/>
      </c>
      <c r="L25" s="252">
        <f t="shared" si="3"/>
        <v/>
      </c>
      <c r="M25" s="246">
        <f t="shared" si="3"/>
        <v/>
      </c>
      <c r="N25" s="613"/>
      <c r="O25" s="614"/>
    </row>
    <row r="26" spans="2:21" ht="24.75" customHeight="1">
      <c r="B26" s="573" t="s">
        <v>147</v>
      </c>
      <c r="C26" s="381" t="s">
        <v>148</v>
      </c>
      <c r="D26" s="252"/>
      <c r="E26" s="246">
        <f>D26*'6. 생산계획'!$H$9</f>
        <v/>
      </c>
      <c r="F26" s="252"/>
      <c r="G26" s="246">
        <f>F26*'6. 생산계획'!$K$9</f>
        <v/>
      </c>
      <c r="H26" s="252"/>
      <c r="I26" s="246">
        <f>H26*'6. 생산계획'!$N$9</f>
        <v/>
      </c>
      <c r="J26" s="252"/>
      <c r="K26" s="246">
        <f>J26*'6. 생산계획'!$Q$9</f>
        <v/>
      </c>
      <c r="L26" s="252"/>
      <c r="M26" s="246">
        <f>L26*'6. 생산계획'!$T$9</f>
        <v/>
      </c>
      <c r="N26" s="586"/>
      <c r="O26" s="587"/>
    </row>
    <row r="27" spans="2:21" ht="24.75" customHeight="1">
      <c r="B27" s="574"/>
      <c r="C27" s="381" t="s">
        <v>145</v>
      </c>
      <c r="D27" s="252"/>
      <c r="E27" s="246">
        <f>D27*'6. 생산계획'!$H$9</f>
        <v/>
      </c>
      <c r="F27" s="252"/>
      <c r="G27" s="246">
        <f>F27*'6. 생산계획'!$K$9</f>
        <v/>
      </c>
      <c r="H27" s="252"/>
      <c r="I27" s="246">
        <f>H27*'6. 생산계획'!$N$9</f>
        <v/>
      </c>
      <c r="J27" s="252"/>
      <c r="K27" s="246">
        <f>J27*'6. 생산계획'!$Q$9</f>
        <v/>
      </c>
      <c r="L27" s="252"/>
      <c r="M27" s="246">
        <f>L27*'6. 생산계획'!$T$9</f>
        <v/>
      </c>
      <c r="N27" s="588"/>
      <c r="O27" s="589"/>
    </row>
    <row r="28" spans="2:21" ht="24.75" customHeight="1">
      <c r="B28" s="574"/>
      <c r="C28" s="381" t="s">
        <v>146</v>
      </c>
      <c r="D28" s="252"/>
      <c r="E28" s="246">
        <f>D28*'6. 생산계획'!$H$9</f>
        <v/>
      </c>
      <c r="F28" s="252"/>
      <c r="G28" s="246">
        <f>F28*'6. 생산계획'!$K$9</f>
        <v/>
      </c>
      <c r="H28" s="252"/>
      <c r="I28" s="246">
        <f>H28*'6. 생산계획'!$N$9</f>
        <v/>
      </c>
      <c r="J28" s="252"/>
      <c r="K28" s="246">
        <f>J28*'6. 생산계획'!$Q$9</f>
        <v/>
      </c>
      <c r="L28" s="252"/>
      <c r="M28" s="246">
        <f>L28*'6. 생산계획'!$T$9</f>
        <v/>
      </c>
      <c r="N28" s="588"/>
      <c r="O28" s="589"/>
    </row>
    <row r="29" spans="2:21" ht="24.75" customHeight="1">
      <c r="B29" s="574"/>
      <c r="C29" s="381" t="s">
        <v>96</v>
      </c>
      <c r="D29" s="252">
        <f t="shared" ref="D29:M29" si="4">SUM(D26:D28)</f>
        <v/>
      </c>
      <c r="E29" s="246">
        <f t="shared" si="4"/>
        <v/>
      </c>
      <c r="F29" s="252">
        <f t="shared" si="4"/>
        <v/>
      </c>
      <c r="G29" s="246">
        <f t="shared" si="4"/>
        <v/>
      </c>
      <c r="H29" s="252">
        <f t="shared" si="4"/>
        <v/>
      </c>
      <c r="I29" s="246">
        <f t="shared" si="4"/>
        <v/>
      </c>
      <c r="J29" s="252">
        <f t="shared" si="4"/>
        <v/>
      </c>
      <c r="K29" s="246">
        <f t="shared" si="4"/>
        <v/>
      </c>
      <c r="L29" s="252">
        <f t="shared" si="4"/>
        <v/>
      </c>
      <c r="M29" s="246">
        <f t="shared" si="4"/>
        <v/>
      </c>
      <c r="N29" s="588"/>
      <c r="O29" s="589"/>
      <c r="Q29" s="121"/>
      <c r="R29" s="121"/>
      <c r="S29" s="121"/>
      <c r="T29" s="120"/>
      <c r="U29" s="120"/>
    </row>
    <row r="30" spans="2:21" ht="24" customHeight="1">
      <c r="B30" s="600" t="s">
        <v>149</v>
      </c>
      <c r="C30" s="563"/>
      <c r="D30" s="417">
        <f>100%-D25-D29</f>
        <v/>
      </c>
      <c r="E30" s="246">
        <f>D30*'6. 생산계획'!$H$9</f>
        <v/>
      </c>
      <c r="F30" s="417">
        <f>100%-F25-F29</f>
        <v/>
      </c>
      <c r="G30" s="246">
        <f>F30*'6. 생산계획'!$K$9</f>
        <v/>
      </c>
      <c r="H30" s="417">
        <f>100%-H25-H29</f>
        <v/>
      </c>
      <c r="I30" s="246">
        <f>H30*'6. 생산계획'!$N$9</f>
        <v/>
      </c>
      <c r="J30" s="417">
        <f>100%-J25-J29</f>
        <v/>
      </c>
      <c r="K30" s="246">
        <f>J30*'6. 생산계획'!$Q$9</f>
        <v/>
      </c>
      <c r="L30" s="417">
        <f>100%-L25-L29</f>
        <v/>
      </c>
      <c r="M30" s="246">
        <f>L30*'6. 생산계획'!$T$9</f>
        <v/>
      </c>
      <c r="N30" s="632"/>
      <c r="O30" s="633"/>
      <c r="Q30" s="122"/>
    </row>
    <row r="31" spans="2:21" ht="24" customHeight="1" thickBot="1">
      <c r="B31" s="599" t="s">
        <v>150</v>
      </c>
      <c r="C31" s="553"/>
      <c r="D31" s="417">
        <f t="shared" ref="D31:M31" si="5">D25+D29+D30</f>
        <v/>
      </c>
      <c r="E31" s="418">
        <f t="shared" si="5"/>
        <v/>
      </c>
      <c r="F31" s="417">
        <f t="shared" si="5"/>
        <v/>
      </c>
      <c r="G31" s="418">
        <f t="shared" si="5"/>
        <v/>
      </c>
      <c r="H31" s="417">
        <f t="shared" si="5"/>
        <v/>
      </c>
      <c r="I31" s="418">
        <f t="shared" si="5"/>
        <v/>
      </c>
      <c r="J31" s="417">
        <f t="shared" si="5"/>
        <v/>
      </c>
      <c r="K31" s="418">
        <f t="shared" si="5"/>
        <v/>
      </c>
      <c r="L31" s="417">
        <f t="shared" si="5"/>
        <v/>
      </c>
      <c r="M31" s="418">
        <f t="shared" si="5"/>
        <v/>
      </c>
      <c r="N31" s="634"/>
      <c r="O31" s="635"/>
      <c r="Q31" s="122"/>
    </row>
    <row r="32" spans="2:21" ht="15" customHeight="1">
      <c r="B32" s="630"/>
      <c r="C32" s="631"/>
      <c r="D32" s="631"/>
      <c r="E32" s="631"/>
      <c r="F32" s="631"/>
      <c r="G32" s="631"/>
      <c r="H32" s="631"/>
      <c r="I32" s="631"/>
      <c r="J32" s="631"/>
      <c r="K32" s="631"/>
      <c r="L32" s="631"/>
      <c r="M32" s="631"/>
      <c r="N32" s="631"/>
      <c r="O32" s="631"/>
      <c r="Q32" s="123"/>
    </row>
    <row r="33" spans="2:17" ht="15" customHeight="1"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Q33" s="123"/>
    </row>
    <row r="34" spans="2:17" ht="20.100000000000001" customHeight="1">
      <c r="B34" s="96" t="s">
        <v>151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</row>
    <row r="35" spans="2:17" ht="15" customHeight="1" thickBot="1">
      <c r="B35" s="65"/>
      <c r="C35" s="34"/>
      <c r="D35" s="34"/>
      <c r="E35" s="34"/>
      <c r="F35" s="34"/>
      <c r="G35" s="34"/>
      <c r="H35" s="34"/>
      <c r="I35" s="34"/>
      <c r="J35" s="34"/>
      <c r="K35" s="34"/>
      <c r="L35" s="175"/>
      <c r="M35" s="636" t="s">
        <v>152</v>
      </c>
      <c r="N35" s="636"/>
      <c r="O35" s="636"/>
    </row>
    <row r="36" spans="2:17" ht="20.100000000000001" customHeight="1">
      <c r="B36" s="601"/>
      <c r="C36" s="570"/>
      <c r="D36" s="571"/>
      <c r="E36" s="570"/>
      <c r="F36" s="571"/>
      <c r="G36" s="570"/>
      <c r="H36" s="571"/>
      <c r="I36" s="570"/>
      <c r="J36" s="571"/>
      <c r="K36" s="570"/>
      <c r="L36" s="571"/>
      <c r="M36" s="570" t="s">
        <v>140</v>
      </c>
      <c r="N36" s="622"/>
      <c r="O36" s="623"/>
    </row>
    <row r="37" spans="2:17" ht="20.100000000000001" customHeight="1">
      <c r="B37" s="602"/>
      <c r="C37" s="424" t="s">
        <v>55</v>
      </c>
      <c r="D37" s="425" t="s">
        <v>74</v>
      </c>
      <c r="E37" s="424" t="s">
        <v>55</v>
      </c>
      <c r="F37" s="425" t="s">
        <v>74</v>
      </c>
      <c r="G37" s="424" t="s">
        <v>55</v>
      </c>
      <c r="H37" s="425" t="s">
        <v>74</v>
      </c>
      <c r="I37" s="424" t="s">
        <v>55</v>
      </c>
      <c r="J37" s="425" t="s">
        <v>74</v>
      </c>
      <c r="K37" s="424" t="s">
        <v>55</v>
      </c>
      <c r="L37" s="425" t="s">
        <v>74</v>
      </c>
      <c r="M37" s="624"/>
      <c r="N37" s="625"/>
      <c r="O37" s="626"/>
    </row>
    <row r="38" spans="2:17" ht="24" customHeight="1">
      <c r="B38" s="423" t="s">
        <v>153</v>
      </c>
      <c r="C38" s="427">
        <f>E22</f>
        <v/>
      </c>
      <c r="D38" s="427">
        <f>C38*$O$7/1000</f>
        <v/>
      </c>
      <c r="E38" s="427">
        <f>G22</f>
        <v/>
      </c>
      <c r="F38" s="427">
        <f>E38*$O$7/1000</f>
        <v/>
      </c>
      <c r="G38" s="427">
        <f>I22</f>
        <v/>
      </c>
      <c r="H38" s="427">
        <f>G38*$O$7/1000</f>
        <v/>
      </c>
      <c r="I38" s="427">
        <f>K22</f>
        <v/>
      </c>
      <c r="J38" s="427">
        <f>I38*$O$7/1000</f>
        <v/>
      </c>
      <c r="K38" s="427">
        <f>M22</f>
        <v/>
      </c>
      <c r="L38" s="427">
        <f>K38*$O$7/1000</f>
        <v/>
      </c>
      <c r="M38" s="627"/>
      <c r="N38" s="628"/>
      <c r="O38" s="629"/>
    </row>
    <row r="39" spans="2:17" ht="24" customHeight="1">
      <c r="B39" s="423" t="s">
        <v>154</v>
      </c>
      <c r="C39" s="427">
        <f t="shared" ref="C39:C40" si="6">E23</f>
        <v/>
      </c>
      <c r="D39" s="427">
        <f>C39*$O$8/1000</f>
        <v/>
      </c>
      <c r="E39" s="427">
        <f t="shared" ref="E39:E40" si="7">G23</f>
        <v/>
      </c>
      <c r="F39" s="427">
        <f>E39*$O$8/1000</f>
        <v/>
      </c>
      <c r="G39" s="427">
        <f t="shared" ref="G39:G40" si="8">I23</f>
        <v/>
      </c>
      <c r="H39" s="427">
        <f>G39*$O$8/1000</f>
        <v/>
      </c>
      <c r="I39" s="427">
        <f t="shared" ref="I39:I40" si="9">K23</f>
        <v/>
      </c>
      <c r="J39" s="427">
        <f>I39*$O$8/1000</f>
        <v/>
      </c>
      <c r="K39" s="427">
        <f t="shared" ref="K39:K40" si="10">M23</f>
        <v/>
      </c>
      <c r="L39" s="427">
        <f>K39*$O$8/1000</f>
        <v/>
      </c>
      <c r="M39" s="627"/>
      <c r="N39" s="628"/>
      <c r="O39" s="629"/>
    </row>
    <row r="40" spans="2:17" ht="24" customHeight="1">
      <c r="B40" s="423" t="s">
        <v>155</v>
      </c>
      <c r="C40" s="427">
        <f t="shared" si="6"/>
        <v/>
      </c>
      <c r="D40" s="427">
        <f>C40*$O$9/1000</f>
        <v/>
      </c>
      <c r="E40" s="427">
        <f t="shared" si="7"/>
        <v/>
      </c>
      <c r="F40" s="427">
        <f>E40*$O$9/1000</f>
        <v/>
      </c>
      <c r="G40" s="427">
        <f t="shared" si="8"/>
        <v/>
      </c>
      <c r="H40" s="427">
        <f>G40*$O$9/1000</f>
        <v/>
      </c>
      <c r="I40" s="427">
        <f t="shared" si="9"/>
        <v/>
      </c>
      <c r="J40" s="427">
        <f>I40*$O$9/1000</f>
        <v/>
      </c>
      <c r="K40" s="427">
        <f t="shared" si="10"/>
        <v/>
      </c>
      <c r="L40" s="427">
        <f>K40*$O$9/1000</f>
        <v/>
      </c>
      <c r="M40" s="640"/>
      <c r="N40" s="641"/>
      <c r="O40" s="642"/>
    </row>
    <row r="41" spans="2:17" ht="24" customHeight="1">
      <c r="B41" s="423" t="s">
        <v>156</v>
      </c>
      <c r="C41" s="427">
        <f>E26</f>
        <v/>
      </c>
      <c r="D41" s="427">
        <f>C41*$O$11/1000</f>
        <v/>
      </c>
      <c r="E41" s="427">
        <f>G26</f>
        <v/>
      </c>
      <c r="F41" s="427">
        <f>E41*$O$11/1000</f>
        <v/>
      </c>
      <c r="G41" s="427">
        <f>I26</f>
        <v/>
      </c>
      <c r="H41" s="427">
        <f>G41*$O$11/1000</f>
        <v/>
      </c>
      <c r="I41" s="427">
        <f>K26</f>
        <v/>
      </c>
      <c r="J41" s="427">
        <f>I41*$O$11/1000</f>
        <v/>
      </c>
      <c r="K41" s="427">
        <f>M26</f>
        <v/>
      </c>
      <c r="L41" s="427">
        <f>K41*$O$11/1000</f>
        <v/>
      </c>
      <c r="M41" s="419"/>
      <c r="N41" s="420"/>
      <c r="O41" s="421"/>
    </row>
    <row r="42" spans="2:17" ht="24" customHeight="1">
      <c r="B42" s="423" t="s">
        <v>157</v>
      </c>
      <c r="C42" s="427">
        <f t="shared" ref="C42:C43" si="11">E27</f>
        <v/>
      </c>
      <c r="D42" s="427">
        <f>C42*$O$12/1000</f>
        <v/>
      </c>
      <c r="E42" s="427">
        <f t="shared" ref="E42:E43" si="12">G27</f>
        <v/>
      </c>
      <c r="F42" s="427">
        <f>E42*$O$12/1000</f>
        <v/>
      </c>
      <c r="G42" s="427">
        <f t="shared" ref="G42:G43" si="13">I27</f>
        <v/>
      </c>
      <c r="H42" s="427">
        <f>G42*$O$12/1000</f>
        <v/>
      </c>
      <c r="I42" s="427">
        <f t="shared" ref="I42:I43" si="14">K27</f>
        <v/>
      </c>
      <c r="J42" s="427">
        <f>I42*$O$12/1000</f>
        <v/>
      </c>
      <c r="K42" s="427">
        <f t="shared" ref="K42:K43" si="15">M27</f>
        <v/>
      </c>
      <c r="L42" s="427">
        <f>K42*$O$12/1000</f>
        <v/>
      </c>
      <c r="M42" s="419"/>
      <c r="N42" s="420"/>
      <c r="O42" s="421"/>
    </row>
    <row r="43" spans="2:17" ht="24" customHeight="1">
      <c r="B43" s="423" t="s">
        <v>158</v>
      </c>
      <c r="C43" s="427">
        <f t="shared" si="11"/>
        <v/>
      </c>
      <c r="D43" s="427">
        <f>C43*$O$13/1000</f>
        <v/>
      </c>
      <c r="E43" s="427">
        <f t="shared" si="12"/>
        <v/>
      </c>
      <c r="F43" s="427">
        <f>E43*$O$13/1000</f>
        <v/>
      </c>
      <c r="G43" s="427">
        <f t="shared" si="13"/>
        <v/>
      </c>
      <c r="H43" s="427">
        <f>G43*$O$13/1000</f>
        <v/>
      </c>
      <c r="I43" s="427">
        <f t="shared" si="14"/>
        <v/>
      </c>
      <c r="J43" s="427">
        <f>I43*$O$13/1000</f>
        <v/>
      </c>
      <c r="K43" s="427">
        <f t="shared" si="15"/>
        <v/>
      </c>
      <c r="L43" s="427">
        <f>K43*$O$13/1000</f>
        <v/>
      </c>
      <c r="M43" s="637"/>
      <c r="N43" s="638"/>
      <c r="O43" s="639"/>
    </row>
    <row r="44" spans="2:17" ht="24" customHeight="1" thickBot="1">
      <c r="B44" s="426" t="s">
        <v>159</v>
      </c>
      <c r="C44" s="604">
        <f>SUM(D38:D43)</f>
        <v/>
      </c>
      <c r="D44" s="604"/>
      <c r="E44" s="604">
        <f>SUM(F38:F43)</f>
        <v/>
      </c>
      <c r="F44" s="604"/>
      <c r="G44" s="604">
        <f>SUM(H38:H43)</f>
        <v/>
      </c>
      <c r="H44" s="604"/>
      <c r="I44" s="604">
        <f>SUM(J38:J43)</f>
        <v/>
      </c>
      <c r="J44" s="604"/>
      <c r="K44" s="604">
        <f>SUM(L38:L43)</f>
        <v/>
      </c>
      <c r="L44" s="604"/>
      <c r="M44" s="608"/>
      <c r="N44" s="608"/>
      <c r="O44" s="609"/>
    </row>
    <row r="45" spans="2:17" ht="15" customHeight="1">
      <c r="B45" s="607"/>
      <c r="C45" s="607"/>
      <c r="D45" s="607"/>
      <c r="E45" s="607"/>
      <c r="F45" s="607"/>
      <c r="G45" s="607"/>
      <c r="H45" s="607"/>
      <c r="I45" s="607"/>
      <c r="J45" s="607"/>
      <c r="K45" s="607"/>
      <c r="L45" s="607"/>
      <c r="M45" s="607"/>
      <c r="N45" s="607"/>
      <c r="O45" s="34"/>
    </row>
    <row r="46" spans="2:17" ht="15" customHeight="1"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</row>
    <row r="47" spans="2:17" ht="15" customHeight="1">
      <c r="B47" s="121"/>
      <c r="C47" s="145"/>
      <c r="D47" s="119"/>
      <c r="E47" s="150"/>
      <c r="F47" s="151"/>
      <c r="G47" s="150"/>
      <c r="H47" s="151"/>
      <c r="I47" s="150"/>
      <c r="J47" s="151"/>
      <c r="K47" s="150"/>
      <c r="L47" s="151"/>
      <c r="M47" s="610"/>
      <c r="N47" s="610"/>
      <c r="O47" s="34"/>
    </row>
    <row r="48" spans="2:17" ht="15" customHeight="1">
      <c r="B48" s="297"/>
      <c r="C48" s="297"/>
      <c r="D48" s="297"/>
      <c r="E48" s="297"/>
      <c r="F48" s="297"/>
      <c r="G48" s="297"/>
      <c r="H48" s="297"/>
      <c r="I48" s="297"/>
      <c r="J48" s="297"/>
      <c r="K48" s="297"/>
      <c r="L48" s="297"/>
      <c r="M48" s="297"/>
      <c r="N48" s="297"/>
      <c r="O48" s="34"/>
    </row>
    <row r="49" spans="2:15" ht="14.25">
      <c r="B49" s="119"/>
      <c r="C49" s="603"/>
      <c r="D49" s="603"/>
      <c r="E49" s="605"/>
      <c r="F49" s="606"/>
      <c r="G49" s="605"/>
      <c r="H49" s="606"/>
      <c r="I49" s="605"/>
      <c r="J49" s="606"/>
      <c r="K49" s="612"/>
      <c r="L49" s="606"/>
      <c r="M49" s="612"/>
      <c r="N49" s="612"/>
      <c r="O49" s="34"/>
    </row>
    <row r="50" spans="2:15">
      <c r="B50" s="68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</row>
    <row r="51" spans="2:15" ht="15" customHeight="1">
      <c r="O51" s="34"/>
    </row>
    <row r="52" spans="2:15" ht="20.100000000000001" customHeight="1"/>
    <row r="53" spans="2:15" ht="15" customHeight="1"/>
    <row r="57" spans="2:15" ht="15" customHeight="1"/>
    <row r="58" spans="2:15" ht="20.100000000000001" customHeight="1"/>
    <row r="59" spans="2:15" ht="15" customHeight="1"/>
    <row r="63" spans="2:15" ht="15" customHeight="1"/>
    <row r="64" spans="2:15" ht="20.100000000000001" customHeight="1"/>
    <row r="65" ht="15" customHeight="1"/>
  </sheetData>
  <mergeCells count="106">
    <mergeCell ref="M36:O37"/>
    <mergeCell ref="M38:O38"/>
    <mergeCell ref="M39:O39"/>
    <mergeCell ref="B32:O32"/>
    <mergeCell ref="C36:D36"/>
    <mergeCell ref="N30:O31"/>
    <mergeCell ref="E36:F36"/>
    <mergeCell ref="M35:O35"/>
    <mergeCell ref="M43:O43"/>
    <mergeCell ref="M40:O40"/>
    <mergeCell ref="N22:O25"/>
    <mergeCell ref="M12:N12"/>
    <mergeCell ref="E10:F10"/>
    <mergeCell ref="G10:H10"/>
    <mergeCell ref="I10:J10"/>
    <mergeCell ref="K10:L10"/>
    <mergeCell ref="M10:N10"/>
    <mergeCell ref="D20:D21"/>
    <mergeCell ref="L20:L21"/>
    <mergeCell ref="J20:J21"/>
    <mergeCell ref="H20:H21"/>
    <mergeCell ref="F20:F21"/>
    <mergeCell ref="K20:K21"/>
    <mergeCell ref="M20:M21"/>
    <mergeCell ref="F19:G19"/>
    <mergeCell ref="H19:I19"/>
    <mergeCell ref="J19:K19"/>
    <mergeCell ref="L19:M19"/>
    <mergeCell ref="D19:E19"/>
    <mergeCell ref="E20:E21"/>
    <mergeCell ref="G20:G21"/>
    <mergeCell ref="C10:D10"/>
    <mergeCell ref="C49:D49"/>
    <mergeCell ref="C44:D44"/>
    <mergeCell ref="E44:F44"/>
    <mergeCell ref="E49:F49"/>
    <mergeCell ref="G44:H44"/>
    <mergeCell ref="B45:N45"/>
    <mergeCell ref="M44:O44"/>
    <mergeCell ref="M47:N47"/>
    <mergeCell ref="B46:N46"/>
    <mergeCell ref="G49:H49"/>
    <mergeCell ref="K44:L44"/>
    <mergeCell ref="I49:J49"/>
    <mergeCell ref="K49:L49"/>
    <mergeCell ref="M49:N49"/>
    <mergeCell ref="I44:J44"/>
    <mergeCell ref="B2:E2"/>
    <mergeCell ref="C6:D6"/>
    <mergeCell ref="E6:F6"/>
    <mergeCell ref="G6:H6"/>
    <mergeCell ref="I6:J6"/>
    <mergeCell ref="K6:L6"/>
    <mergeCell ref="B22:B25"/>
    <mergeCell ref="G36:H36"/>
    <mergeCell ref="I36:J36"/>
    <mergeCell ref="K36:L36"/>
    <mergeCell ref="B14:O14"/>
    <mergeCell ref="B26:B29"/>
    <mergeCell ref="C19:C21"/>
    <mergeCell ref="B15:O15"/>
    <mergeCell ref="N19:O21"/>
    <mergeCell ref="I20:I21"/>
    <mergeCell ref="N26:O29"/>
    <mergeCell ref="M6:N6"/>
    <mergeCell ref="B11:B13"/>
    <mergeCell ref="B7:B9"/>
    <mergeCell ref="B19:B21"/>
    <mergeCell ref="B31:C31"/>
    <mergeCell ref="B30:C30"/>
    <mergeCell ref="B36:B37"/>
    <mergeCell ref="C8:D8"/>
    <mergeCell ref="E8:F8"/>
    <mergeCell ref="G8:H8"/>
    <mergeCell ref="I8:J8"/>
    <mergeCell ref="K8:L8"/>
    <mergeCell ref="M8:N8"/>
    <mergeCell ref="E7:F7"/>
    <mergeCell ref="G7:H7"/>
    <mergeCell ref="I7:J7"/>
    <mergeCell ref="K7:L7"/>
    <mergeCell ref="M7:N7"/>
    <mergeCell ref="M9:N9"/>
    <mergeCell ref="K9:L9"/>
    <mergeCell ref="I9:J9"/>
    <mergeCell ref="G9:H9"/>
    <mergeCell ref="E9:F9"/>
    <mergeCell ref="C7:D7"/>
    <mergeCell ref="C9:D9"/>
    <mergeCell ref="M11:N11"/>
    <mergeCell ref="M13:N13"/>
    <mergeCell ref="C11:D11"/>
    <mergeCell ref="C12:D12"/>
    <mergeCell ref="C13:D13"/>
    <mergeCell ref="E11:F11"/>
    <mergeCell ref="E12:F12"/>
    <mergeCell ref="E13:F13"/>
    <mergeCell ref="G11:H11"/>
    <mergeCell ref="G12:H12"/>
    <mergeCell ref="G13:H13"/>
    <mergeCell ref="I11:J11"/>
    <mergeCell ref="I12:J12"/>
    <mergeCell ref="I13:J13"/>
    <mergeCell ref="K11:L11"/>
    <mergeCell ref="K12:L12"/>
    <mergeCell ref="K13:L13"/>
  </mergeCells>
  <phoneticPr fontId="2" type="noConversion"/>
  <pageMargins left="0.74803149606299213" right="0.74803149606299213" top="0.82" bottom="0.62" header="0.51181102362204722" footer="0.51181102362204722"/>
  <pageSetup paperSize="9" scale="7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1:Y61"/>
  <sheetViews>
    <sheetView zoomScale="115" zoomScaleNormal="115" workbookViewId="0">
      <selection activeCell="K9" sqref="K9:M9"/>
    </sheetView>
  </sheetViews>
  <sheetFormatPr defaultColWidth="8.88671875" defaultRowHeight="13.5"/>
  <cols>
    <col min="1" max="1" width="5.5546875" style="34" customWidth="1"/>
    <col min="2" max="3" width="5.88671875" style="34" customWidth="1"/>
    <col min="4" max="4" width="3.6640625" style="34" customWidth="1"/>
    <col min="5" max="6" width="5.88671875" style="34" customWidth="1"/>
    <col min="7" max="7" width="3.77734375" style="34" customWidth="1"/>
    <col min="8" max="25" width="5.109375" style="34" customWidth="1"/>
    <col min="26" max="27" width="4.33203125" style="34" customWidth="1"/>
    <col min="28" max="28" width="9.33203125" style="34" bestFit="1" customWidth="1"/>
    <col min="29" max="16384" width="8.88671875" style="34"/>
  </cols>
  <sheetData>
    <row r="1" spans="2:25" ht="15" customHeight="1"/>
    <row r="2" spans="2:25" ht="24.95" customHeight="1">
      <c r="B2" s="643" t="s">
        <v>160</v>
      </c>
      <c r="C2" s="643"/>
      <c r="D2" s="643"/>
      <c r="E2" s="643"/>
      <c r="F2" s="643"/>
      <c r="G2" s="643"/>
    </row>
    <row r="3" spans="2:25" ht="15" customHeight="1">
      <c r="B3" s="69"/>
      <c r="D3" s="69"/>
      <c r="E3" s="69"/>
      <c r="F3" s="69"/>
      <c r="G3" s="69"/>
      <c r="H3" s="69"/>
      <c r="I3" s="69"/>
      <c r="J3" s="69"/>
      <c r="K3" s="69"/>
    </row>
    <row r="4" spans="2:25" ht="20.100000000000001" customHeight="1">
      <c r="B4" s="523" t="s">
        <v>161</v>
      </c>
      <c r="C4" s="523"/>
      <c r="D4" s="523"/>
      <c r="E4" s="523"/>
      <c r="F4" s="523"/>
      <c r="G4" s="523"/>
      <c r="H4" s="523"/>
      <c r="I4" s="523"/>
      <c r="J4" s="523"/>
      <c r="K4" s="523"/>
      <c r="L4" s="523"/>
      <c r="M4" s="523"/>
      <c r="N4" s="523"/>
    </row>
    <row r="5" spans="2:25" ht="15" customHeight="1" thickBot="1">
      <c r="B5" s="69"/>
      <c r="C5" s="84"/>
      <c r="D5" s="69"/>
      <c r="E5" s="69"/>
      <c r="F5" s="69"/>
      <c r="G5" s="69"/>
      <c r="H5" s="69"/>
      <c r="I5" s="69"/>
      <c r="J5" s="69"/>
      <c r="K5" s="69"/>
    </row>
    <row r="6" spans="2:25" ht="15" customHeight="1">
      <c r="B6" s="673" t="s">
        <v>162</v>
      </c>
      <c r="C6" s="526"/>
      <c r="D6" s="526"/>
      <c r="E6" s="526"/>
      <c r="F6" s="526"/>
      <c r="G6" s="527"/>
      <c r="H6" s="665"/>
      <c r="I6" s="666"/>
      <c r="J6" s="674"/>
      <c r="K6" s="675"/>
      <c r="L6" s="666"/>
      <c r="M6" s="674"/>
      <c r="N6" s="665"/>
      <c r="O6" s="666"/>
      <c r="P6" s="674"/>
      <c r="Q6" s="675"/>
      <c r="R6" s="666"/>
      <c r="S6" s="674"/>
      <c r="T6" s="665"/>
      <c r="U6" s="666"/>
      <c r="V6" s="674"/>
      <c r="W6" s="665" t="s">
        <v>163</v>
      </c>
      <c r="X6" s="666"/>
      <c r="Y6" s="667"/>
    </row>
    <row r="7" spans="2:25" ht="15" customHeight="1">
      <c r="B7" s="668" t="s">
        <v>164</v>
      </c>
      <c r="C7" s="669"/>
      <c r="D7" s="669"/>
      <c r="E7" s="669"/>
      <c r="F7" s="669"/>
      <c r="G7" s="670"/>
      <c r="H7" s="671">
        <f>H9/5520*1000</f>
        <v/>
      </c>
      <c r="I7" s="672"/>
      <c r="J7" s="672"/>
      <c r="K7" s="671">
        <f>K9/5520*1000</f>
        <v/>
      </c>
      <c r="L7" s="672"/>
      <c r="M7" s="672"/>
      <c r="N7" s="671">
        <f>N9/5520*1000</f>
        <v/>
      </c>
      <c r="O7" s="672"/>
      <c r="P7" s="672"/>
      <c r="Q7" s="671">
        <f>Q9/5520*1000</f>
        <v/>
      </c>
      <c r="R7" s="672"/>
      <c r="S7" s="672"/>
      <c r="T7" s="671">
        <f t="shared" ref="T7" si="0">T9/5520*1000</f>
        <v/>
      </c>
      <c r="U7" s="672"/>
      <c r="V7" s="672"/>
      <c r="W7" s="676"/>
      <c r="X7" s="652"/>
      <c r="Y7" s="677"/>
    </row>
    <row r="8" spans="2:25" ht="15" customHeight="1">
      <c r="B8" s="648" t="s">
        <v>165</v>
      </c>
      <c r="C8" s="649"/>
      <c r="D8" s="650"/>
      <c r="E8" s="650"/>
      <c r="F8" s="650"/>
      <c r="G8" s="650"/>
      <c r="H8" s="651"/>
      <c r="I8" s="652"/>
      <c r="J8" s="652"/>
      <c r="K8" s="653"/>
      <c r="L8" s="654"/>
      <c r="M8" s="655"/>
      <c r="N8" s="653"/>
      <c r="O8" s="654"/>
      <c r="P8" s="655"/>
      <c r="Q8" s="653"/>
      <c r="R8" s="654"/>
      <c r="S8" s="655"/>
      <c r="T8" s="653"/>
      <c r="U8" s="654"/>
      <c r="V8" s="655"/>
      <c r="W8" s="651"/>
      <c r="X8" s="652"/>
      <c r="Y8" s="677"/>
    </row>
    <row r="9" spans="2:25" ht="15" customHeight="1" thickBot="1">
      <c r="B9" s="644" t="s">
        <v>166</v>
      </c>
      <c r="C9" s="645"/>
      <c r="D9" s="645"/>
      <c r="E9" s="645"/>
      <c r="F9" s="645"/>
      <c r="G9" s="646"/>
      <c r="H9" s="656"/>
      <c r="I9" s="657"/>
      <c r="J9" s="658"/>
      <c r="K9" s="656">
        <f>2160+8400</f>
        <v/>
      </c>
      <c r="L9" s="657"/>
      <c r="M9" s="658"/>
      <c r="N9" s="656">
        <f>K9*1.05</f>
        <v/>
      </c>
      <c r="O9" s="657"/>
      <c r="P9" s="658"/>
      <c r="Q9" s="656">
        <f>N9*1.05</f>
        <v/>
      </c>
      <c r="R9" s="657"/>
      <c r="S9" s="658"/>
      <c r="T9" s="656">
        <f>Q9</f>
        <v/>
      </c>
      <c r="U9" s="657"/>
      <c r="V9" s="658"/>
      <c r="W9" s="656"/>
      <c r="X9" s="657"/>
      <c r="Y9" s="678"/>
    </row>
    <row r="10" spans="2:25" ht="15" customHeight="1">
      <c r="B10" s="212"/>
      <c r="C10" s="121"/>
      <c r="D10" s="121"/>
      <c r="E10" s="121"/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</row>
    <row r="11" spans="2:25" ht="15" customHeight="1">
      <c r="B11" s="212"/>
      <c r="C11" s="121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</row>
    <row r="12" spans="2:25" ht="20.100000000000001" customHeight="1">
      <c r="B12" s="647" t="s">
        <v>167</v>
      </c>
      <c r="C12" s="647"/>
      <c r="D12" s="647"/>
      <c r="E12" s="647"/>
      <c r="F12" s="647"/>
      <c r="G12" s="647"/>
      <c r="H12" s="647"/>
      <c r="I12" s="647"/>
      <c r="J12" s="647"/>
      <c r="K12" s="647"/>
      <c r="L12" s="647"/>
      <c r="M12" s="647"/>
      <c r="N12" s="647"/>
    </row>
    <row r="13" spans="2:25" ht="15" customHeight="1" thickBot="1">
      <c r="B13" s="308"/>
      <c r="C13" s="308"/>
      <c r="D13" s="308"/>
      <c r="E13" s="308"/>
      <c r="F13" s="308"/>
      <c r="G13" s="308"/>
      <c r="H13" s="308"/>
      <c r="I13" s="308"/>
      <c r="J13" s="308"/>
      <c r="K13" s="308"/>
      <c r="L13" s="308"/>
      <c r="M13" s="308"/>
      <c r="N13" s="308"/>
    </row>
    <row r="14" spans="2:25" ht="15" customHeight="1">
      <c r="B14" s="701" t="s">
        <v>168</v>
      </c>
      <c r="C14" s="489"/>
      <c r="D14" s="489"/>
      <c r="E14" s="489"/>
      <c r="F14" s="489"/>
      <c r="G14" s="489"/>
      <c r="H14" s="489" t="s">
        <v>169</v>
      </c>
      <c r="I14" s="489"/>
      <c r="J14" s="489"/>
      <c r="K14" s="489"/>
      <c r="L14" s="489"/>
      <c r="M14" s="489"/>
      <c r="N14" s="489"/>
      <c r="O14" s="489"/>
      <c r="P14" s="489"/>
      <c r="Q14" s="489"/>
      <c r="R14" s="489"/>
      <c r="S14" s="489"/>
      <c r="T14" s="489"/>
      <c r="U14" s="489"/>
      <c r="V14" s="489"/>
      <c r="W14" s="489"/>
      <c r="X14" s="489"/>
      <c r="Y14" s="690"/>
    </row>
    <row r="15" spans="2:25" ht="15" customHeight="1">
      <c r="B15" s="659" t="s">
        <v>170</v>
      </c>
      <c r="C15" s="660"/>
      <c r="D15" s="660"/>
      <c r="E15" s="660"/>
      <c r="F15" s="660"/>
      <c r="G15" s="661"/>
      <c r="H15" s="683"/>
      <c r="I15" s="683"/>
      <c r="J15" s="683"/>
      <c r="K15" s="683"/>
      <c r="L15" s="683"/>
      <c r="M15" s="683"/>
      <c r="N15" s="683"/>
      <c r="O15" s="683"/>
      <c r="P15" s="683"/>
      <c r="Q15" s="683"/>
      <c r="R15" s="683"/>
      <c r="S15" s="683"/>
      <c r="T15" s="683"/>
      <c r="U15" s="683"/>
      <c r="V15" s="683"/>
      <c r="W15" s="683"/>
      <c r="X15" s="683"/>
      <c r="Y15" s="684"/>
    </row>
    <row r="16" spans="2:25" ht="15" customHeight="1">
      <c r="B16" s="662"/>
      <c r="C16" s="663"/>
      <c r="D16" s="663"/>
      <c r="E16" s="663"/>
      <c r="F16" s="663"/>
      <c r="G16" s="664"/>
      <c r="H16" s="702"/>
      <c r="I16" s="703"/>
      <c r="J16" s="703"/>
      <c r="K16" s="703"/>
      <c r="L16" s="703"/>
      <c r="M16" s="703"/>
      <c r="N16" s="703"/>
      <c r="O16" s="703"/>
      <c r="P16" s="703"/>
      <c r="Q16" s="703"/>
      <c r="R16" s="703"/>
      <c r="S16" s="703"/>
      <c r="T16" s="703"/>
      <c r="U16" s="703"/>
      <c r="V16" s="703"/>
      <c r="W16" s="703"/>
      <c r="X16" s="703"/>
      <c r="Y16" s="704"/>
    </row>
    <row r="17" spans="2:25" ht="15" customHeight="1">
      <c r="B17" s="679" t="s">
        <v>171</v>
      </c>
      <c r="C17" s="680"/>
      <c r="D17" s="680"/>
      <c r="E17" s="691"/>
      <c r="F17" s="660"/>
      <c r="G17" s="661"/>
      <c r="H17" s="693"/>
      <c r="I17" s="694"/>
      <c r="J17" s="694"/>
      <c r="K17" s="694"/>
      <c r="L17" s="694"/>
      <c r="M17" s="694"/>
      <c r="N17" s="694"/>
      <c r="O17" s="694"/>
      <c r="P17" s="694"/>
      <c r="Q17" s="694"/>
      <c r="R17" s="694"/>
      <c r="S17" s="694"/>
      <c r="T17" s="694"/>
      <c r="U17" s="694"/>
      <c r="V17" s="694"/>
      <c r="W17" s="694"/>
      <c r="X17" s="694"/>
      <c r="Y17" s="695"/>
    </row>
    <row r="18" spans="2:25" ht="15" customHeight="1">
      <c r="B18" s="679"/>
      <c r="C18" s="680"/>
      <c r="D18" s="680"/>
      <c r="E18" s="692"/>
      <c r="F18" s="663"/>
      <c r="G18" s="664"/>
      <c r="H18" s="696"/>
      <c r="I18" s="697"/>
      <c r="J18" s="697"/>
      <c r="K18" s="697"/>
      <c r="L18" s="697"/>
      <c r="M18" s="697"/>
      <c r="N18" s="697"/>
      <c r="O18" s="697"/>
      <c r="P18" s="697"/>
      <c r="Q18" s="697"/>
      <c r="R18" s="697"/>
      <c r="S18" s="697"/>
      <c r="T18" s="697"/>
      <c r="U18" s="697"/>
      <c r="V18" s="697"/>
      <c r="W18" s="697"/>
      <c r="X18" s="697"/>
      <c r="Y18" s="698"/>
    </row>
    <row r="19" spans="2:25" ht="15" customHeight="1">
      <c r="B19" s="659" t="s">
        <v>172</v>
      </c>
      <c r="C19" s="660"/>
      <c r="D19" s="661"/>
      <c r="E19" s="680" t="s">
        <v>173</v>
      </c>
      <c r="F19" s="680"/>
      <c r="G19" s="680"/>
      <c r="H19" s="683"/>
      <c r="I19" s="683"/>
      <c r="J19" s="683"/>
      <c r="K19" s="683"/>
      <c r="L19" s="683"/>
      <c r="M19" s="683"/>
      <c r="N19" s="683"/>
      <c r="O19" s="683"/>
      <c r="P19" s="683"/>
      <c r="Q19" s="683"/>
      <c r="R19" s="683"/>
      <c r="S19" s="683"/>
      <c r="T19" s="683"/>
      <c r="U19" s="683"/>
      <c r="V19" s="683"/>
      <c r="W19" s="683"/>
      <c r="X19" s="683"/>
      <c r="Y19" s="683"/>
    </row>
    <row r="20" spans="2:25" ht="15" customHeight="1">
      <c r="B20" s="687"/>
      <c r="C20" s="688"/>
      <c r="D20" s="689"/>
      <c r="E20" s="680"/>
      <c r="F20" s="680"/>
      <c r="G20" s="680"/>
      <c r="H20" s="683"/>
      <c r="I20" s="683"/>
      <c r="J20" s="683"/>
      <c r="K20" s="683"/>
      <c r="L20" s="683"/>
      <c r="M20" s="683"/>
      <c r="N20" s="683"/>
      <c r="O20" s="683"/>
      <c r="P20" s="683"/>
      <c r="Q20" s="683"/>
      <c r="R20" s="683"/>
      <c r="S20" s="683"/>
      <c r="T20" s="683"/>
      <c r="U20" s="683"/>
      <c r="V20" s="683"/>
      <c r="W20" s="683"/>
      <c r="X20" s="683"/>
      <c r="Y20" s="683"/>
    </row>
    <row r="21" spans="2:25" ht="15" customHeight="1">
      <c r="B21" s="687"/>
      <c r="C21" s="688"/>
      <c r="D21" s="689"/>
      <c r="E21" s="680" t="s">
        <v>174</v>
      </c>
      <c r="F21" s="680"/>
      <c r="G21" s="680"/>
      <c r="H21" s="683"/>
      <c r="I21" s="683"/>
      <c r="J21" s="683"/>
      <c r="K21" s="683"/>
      <c r="L21" s="683"/>
      <c r="M21" s="683"/>
      <c r="N21" s="683"/>
      <c r="O21" s="683"/>
      <c r="P21" s="683"/>
      <c r="Q21" s="683"/>
      <c r="R21" s="683"/>
      <c r="S21" s="683"/>
      <c r="T21" s="683"/>
      <c r="U21" s="683"/>
      <c r="V21" s="683"/>
      <c r="W21" s="683"/>
      <c r="X21" s="683"/>
      <c r="Y21" s="683"/>
    </row>
    <row r="22" spans="2:25" ht="15" customHeight="1">
      <c r="B22" s="662"/>
      <c r="C22" s="663"/>
      <c r="D22" s="664"/>
      <c r="E22" s="680"/>
      <c r="F22" s="680"/>
      <c r="G22" s="680"/>
      <c r="H22" s="683"/>
      <c r="I22" s="683"/>
      <c r="J22" s="683"/>
      <c r="K22" s="683"/>
      <c r="L22" s="683"/>
      <c r="M22" s="683"/>
      <c r="N22" s="683"/>
      <c r="O22" s="683"/>
      <c r="P22" s="683"/>
      <c r="Q22" s="683"/>
      <c r="R22" s="683"/>
      <c r="S22" s="683"/>
      <c r="T22" s="683"/>
      <c r="U22" s="683"/>
      <c r="V22" s="683"/>
      <c r="W22" s="683"/>
      <c r="X22" s="683"/>
      <c r="Y22" s="683"/>
    </row>
    <row r="23" spans="2:25" ht="15" customHeight="1">
      <c r="B23" s="679" t="s">
        <v>175</v>
      </c>
      <c r="C23" s="680"/>
      <c r="D23" s="680"/>
      <c r="E23" s="680"/>
      <c r="F23" s="680"/>
      <c r="G23" s="680"/>
      <c r="H23" s="683"/>
      <c r="I23" s="683"/>
      <c r="J23" s="683"/>
      <c r="K23" s="683"/>
      <c r="L23" s="683"/>
      <c r="M23" s="683"/>
      <c r="N23" s="683"/>
      <c r="O23" s="683"/>
      <c r="P23" s="683"/>
      <c r="Q23" s="683"/>
      <c r="R23" s="683"/>
      <c r="S23" s="683"/>
      <c r="T23" s="683"/>
      <c r="U23" s="683"/>
      <c r="V23" s="683"/>
      <c r="W23" s="683"/>
      <c r="X23" s="683"/>
      <c r="Y23" s="684"/>
    </row>
    <row r="24" spans="2:25" ht="15" customHeight="1">
      <c r="B24" s="679" t="s">
        <v>176</v>
      </c>
      <c r="C24" s="680"/>
      <c r="D24" s="680"/>
      <c r="E24" s="680"/>
      <c r="F24" s="680"/>
      <c r="G24" s="680"/>
      <c r="H24" s="699"/>
      <c r="I24" s="699"/>
      <c r="J24" s="699"/>
      <c r="K24" s="699"/>
      <c r="L24" s="699"/>
      <c r="M24" s="699"/>
      <c r="N24" s="699"/>
      <c r="O24" s="699"/>
      <c r="P24" s="699"/>
      <c r="Q24" s="699"/>
      <c r="R24" s="699"/>
      <c r="S24" s="699"/>
      <c r="T24" s="699"/>
      <c r="U24" s="699"/>
      <c r="V24" s="699"/>
      <c r="W24" s="699"/>
      <c r="X24" s="699"/>
      <c r="Y24" s="700"/>
    </row>
    <row r="25" spans="2:25" ht="15" customHeight="1">
      <c r="B25" s="679" t="s">
        <v>177</v>
      </c>
      <c r="C25" s="680"/>
      <c r="D25" s="680"/>
      <c r="E25" s="680" t="s">
        <v>178</v>
      </c>
      <c r="F25" s="680"/>
      <c r="G25" s="680"/>
      <c r="H25" s="683"/>
      <c r="I25" s="683"/>
      <c r="J25" s="683"/>
      <c r="K25" s="683"/>
      <c r="L25" s="683"/>
      <c r="M25" s="683"/>
      <c r="N25" s="683"/>
      <c r="O25" s="683"/>
      <c r="P25" s="683"/>
      <c r="Q25" s="683"/>
      <c r="R25" s="683"/>
      <c r="S25" s="683"/>
      <c r="T25" s="683"/>
      <c r="U25" s="683"/>
      <c r="V25" s="683"/>
      <c r="W25" s="683"/>
      <c r="X25" s="683"/>
      <c r="Y25" s="684"/>
    </row>
    <row r="26" spans="2:25" ht="15" customHeight="1">
      <c r="B26" s="679"/>
      <c r="C26" s="680"/>
      <c r="D26" s="680"/>
      <c r="E26" s="680" t="s">
        <v>179</v>
      </c>
      <c r="F26" s="680"/>
      <c r="G26" s="680"/>
      <c r="H26" s="683"/>
      <c r="I26" s="683"/>
      <c r="J26" s="683"/>
      <c r="K26" s="683"/>
      <c r="L26" s="683"/>
      <c r="M26" s="683"/>
      <c r="N26" s="683"/>
      <c r="O26" s="683"/>
      <c r="P26" s="683"/>
      <c r="Q26" s="683"/>
      <c r="R26" s="683"/>
      <c r="S26" s="683"/>
      <c r="T26" s="683"/>
      <c r="U26" s="683"/>
      <c r="V26" s="683"/>
      <c r="W26" s="683"/>
      <c r="X26" s="683"/>
      <c r="Y26" s="684"/>
    </row>
    <row r="27" spans="2:25" ht="15" customHeight="1">
      <c r="B27" s="679"/>
      <c r="C27" s="680"/>
      <c r="D27" s="680"/>
      <c r="E27" s="680" t="s">
        <v>180</v>
      </c>
      <c r="F27" s="680"/>
      <c r="G27" s="680"/>
      <c r="H27" s="683"/>
      <c r="I27" s="683"/>
      <c r="J27" s="683"/>
      <c r="K27" s="683"/>
      <c r="L27" s="683"/>
      <c r="M27" s="683"/>
      <c r="N27" s="683"/>
      <c r="O27" s="683"/>
      <c r="P27" s="683"/>
      <c r="Q27" s="683"/>
      <c r="R27" s="683"/>
      <c r="S27" s="683"/>
      <c r="T27" s="683"/>
      <c r="U27" s="683"/>
      <c r="V27" s="683"/>
      <c r="W27" s="683"/>
      <c r="X27" s="683"/>
      <c r="Y27" s="684"/>
    </row>
    <row r="28" spans="2:25" ht="13.7" customHeight="1" thickBot="1">
      <c r="B28" s="681"/>
      <c r="C28" s="682"/>
      <c r="D28" s="682"/>
      <c r="E28" s="682" t="s">
        <v>181</v>
      </c>
      <c r="F28" s="682"/>
      <c r="G28" s="682"/>
      <c r="H28" s="685"/>
      <c r="I28" s="685"/>
      <c r="J28" s="685"/>
      <c r="K28" s="685"/>
      <c r="L28" s="685"/>
      <c r="M28" s="685"/>
      <c r="N28" s="685"/>
      <c r="O28" s="685"/>
      <c r="P28" s="685"/>
      <c r="Q28" s="685"/>
      <c r="R28" s="685"/>
      <c r="S28" s="685"/>
      <c r="T28" s="685"/>
      <c r="U28" s="685"/>
      <c r="V28" s="685"/>
      <c r="W28" s="685"/>
      <c r="X28" s="685"/>
      <c r="Y28" s="686"/>
    </row>
    <row r="29" spans="2:25" ht="15" customHeight="1"/>
    <row r="30" spans="2:25" ht="15" customHeight="1"/>
    <row r="31" spans="2:25" ht="15" customHeight="1"/>
    <row r="32" spans="2:25" ht="15" customHeight="1"/>
    <row r="33" spans="5:5" ht="15" customHeight="1"/>
    <row r="34" spans="5:5" ht="15" customHeight="1"/>
    <row r="35" spans="5:5" ht="15" customHeight="1"/>
    <row r="36" spans="5:5" ht="15" customHeight="1"/>
    <row r="37" spans="5:5" ht="15" customHeight="1"/>
    <row r="38" spans="5:5" ht="15" customHeight="1">
      <c r="E38" s="34"/>
    </row>
    <row r="39" spans="5:5" ht="15" customHeight="1"/>
    <row r="40" spans="5:5" ht="15" customHeight="1"/>
    <row r="41" spans="5:5" ht="15" customHeight="1"/>
    <row r="42" spans="5:5" ht="15" customHeight="1"/>
    <row r="43" spans="5:5" ht="15" customHeight="1"/>
    <row r="44" spans="5:5" ht="15" customHeight="1"/>
    <row r="45" spans="5:5" ht="15" customHeight="1"/>
    <row r="46" spans="5:5" ht="15" customHeight="1"/>
    <row r="47" spans="5:5" ht="15" customHeight="1"/>
    <row r="48" spans="5:5" ht="15" customHeight="1"/>
    <row r="49" ht="15" customHeight="1"/>
    <row r="53" ht="15" customHeight="1"/>
    <row r="54" ht="20.100000000000001" customHeight="1"/>
    <row r="55" ht="15" customHeight="1"/>
    <row r="59" ht="15" customHeight="1"/>
    <row r="60" ht="20.100000000000001" customHeight="1"/>
    <row r="61" ht="15" customHeight="1"/>
  </sheetData>
  <mergeCells count="57">
    <mergeCell ref="B24:G24"/>
    <mergeCell ref="B19:D22"/>
    <mergeCell ref="H21:Y22"/>
    <mergeCell ref="H14:Y14"/>
    <mergeCell ref="E17:G18"/>
    <mergeCell ref="H17:Y18"/>
    <mergeCell ref="E19:G20"/>
    <mergeCell ref="H24:Y24"/>
    <mergeCell ref="B23:G23"/>
    <mergeCell ref="H23:Y23"/>
    <mergeCell ref="H19:Y20"/>
    <mergeCell ref="E21:G22"/>
    <mergeCell ref="B14:G14"/>
    <mergeCell ref="B17:D18"/>
    <mergeCell ref="H15:Y15"/>
    <mergeCell ref="H16:Y16"/>
    <mergeCell ref="B25:D28"/>
    <mergeCell ref="E27:G27"/>
    <mergeCell ref="H27:Y27"/>
    <mergeCell ref="E28:G28"/>
    <mergeCell ref="H28:Y28"/>
    <mergeCell ref="E25:G25"/>
    <mergeCell ref="E26:G26"/>
    <mergeCell ref="H26:Y26"/>
    <mergeCell ref="H25:Y25"/>
    <mergeCell ref="Q9:S9"/>
    <mergeCell ref="T9:V9"/>
    <mergeCell ref="W9:Y9"/>
    <mergeCell ref="T8:V8"/>
    <mergeCell ref="Q8:S8"/>
    <mergeCell ref="B15:G16"/>
    <mergeCell ref="W6:Y6"/>
    <mergeCell ref="B7:G7"/>
    <mergeCell ref="H7:J7"/>
    <mergeCell ref="B6:G6"/>
    <mergeCell ref="H6:J6"/>
    <mergeCell ref="K6:M6"/>
    <mergeCell ref="N6:P6"/>
    <mergeCell ref="Q6:S6"/>
    <mergeCell ref="T6:V6"/>
    <mergeCell ref="K7:M7"/>
    <mergeCell ref="N7:P7"/>
    <mergeCell ref="Q7:S7"/>
    <mergeCell ref="T7:V7"/>
    <mergeCell ref="W7:Y7"/>
    <mergeCell ref="W8:Y8"/>
    <mergeCell ref="B2:G2"/>
    <mergeCell ref="B9:G9"/>
    <mergeCell ref="B4:N4"/>
    <mergeCell ref="B12:N12"/>
    <mergeCell ref="B8:G8"/>
    <mergeCell ref="H8:J8"/>
    <mergeCell ref="K8:M8"/>
    <mergeCell ref="N8:P8"/>
    <mergeCell ref="H9:J9"/>
    <mergeCell ref="K9:M9"/>
    <mergeCell ref="N9:P9"/>
  </mergeCells>
  <phoneticPr fontId="2" type="noConversion"/>
  <pageMargins left="0.7" right="0.7" top="0.75" bottom="0.75" header="0.3" footer="0.3"/>
  <pageSetup paperSize="9" scale="7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B1:J72"/>
  <sheetViews>
    <sheetView topLeftCell="A3" zoomScale="85" zoomScaleNormal="85" zoomScaleSheetLayoutView="100" workbookViewId="0">
      <selection activeCell="G51" sqref="G51"/>
    </sheetView>
  </sheetViews>
  <sheetFormatPr defaultColWidth="8.88671875" defaultRowHeight="13.5"/>
  <cols>
    <col min="1" max="1" width="5.5546875" style="34" customWidth="1"/>
    <col min="2" max="2" width="22.77734375" style="34" customWidth="1"/>
    <col min="3" max="3" width="15.6640625" style="13" customWidth="1"/>
    <col min="4" max="4" width="15.6640625" style="71" customWidth="1"/>
    <col min="5" max="7" width="15.6640625" style="13" customWidth="1"/>
    <col min="8" max="8" width="8.88671875" style="34"/>
    <col min="9" max="9" width="12.5546875" style="34" customWidth="1"/>
    <col min="10" max="16384" width="8.88671875" style="34"/>
  </cols>
  <sheetData>
    <row r="1" spans="2:10" ht="15" customHeight="1"/>
    <row r="2" spans="2:10" ht="24.95" customHeight="1">
      <c r="B2" s="446" t="s">
        <v>182</v>
      </c>
      <c r="C2" s="446"/>
      <c r="D2" s="446"/>
    </row>
    <row r="3" spans="2:10" ht="15" customHeight="1" thickBot="1">
      <c r="B3" s="27"/>
      <c r="C3" s="34"/>
      <c r="D3" s="70"/>
    </row>
    <row r="4" spans="2:10" ht="39.950000000000003" customHeight="1">
      <c r="B4" s="720" t="s">
        <v>183</v>
      </c>
      <c r="C4" s="152" t="s">
        <v>184</v>
      </c>
      <c r="D4" s="152" t="s">
        <v>185</v>
      </c>
      <c r="E4" s="176" t="s">
        <v>186</v>
      </c>
      <c r="F4" s="152" t="s">
        <v>187</v>
      </c>
      <c r="G4" s="153" t="s">
        <v>188</v>
      </c>
      <c r="J4" s="34" t="s">
        <v>189</v>
      </c>
    </row>
    <row r="5" spans="2:10" ht="39.950000000000003" customHeight="1">
      <c r="B5" s="721"/>
      <c r="C5" s="325"/>
      <c r="D5" s="326"/>
      <c r="E5" s="327"/>
      <c r="F5" s="326"/>
      <c r="G5" s="328" t="s">
        <v>190</v>
      </c>
      <c r="J5" s="34"/>
    </row>
    <row r="6" spans="2:10" ht="15" customHeight="1">
      <c r="B6" s="714" t="s">
        <v>191</v>
      </c>
      <c r="C6" s="717"/>
      <c r="D6" s="717"/>
      <c r="E6" s="717"/>
      <c r="F6" s="717"/>
      <c r="G6" s="718"/>
      <c r="H6" s="35"/>
      <c r="I6" s="35"/>
    </row>
    <row r="7" spans="2:10" ht="15" customHeight="1">
      <c r="B7" s="715"/>
      <c r="C7" s="717" t="s">
        <v>192</v>
      </c>
      <c r="D7" s="717"/>
      <c r="E7" s="717"/>
      <c r="F7" s="717"/>
      <c r="G7" s="718"/>
      <c r="H7" s="35"/>
      <c r="I7" s="35"/>
    </row>
    <row r="8" spans="2:10" ht="15" customHeight="1">
      <c r="B8" s="715"/>
      <c r="C8" s="717"/>
      <c r="D8" s="717"/>
      <c r="E8" s="717"/>
      <c r="F8" s="717"/>
      <c r="G8" s="718"/>
      <c r="H8" s="35"/>
      <c r="I8" s="35"/>
    </row>
    <row r="9" spans="2:10" ht="15" customHeight="1">
      <c r="B9" s="715"/>
      <c r="C9" s="719"/>
      <c r="D9" s="717"/>
      <c r="E9" s="717"/>
      <c r="F9" s="717"/>
      <c r="G9" s="718"/>
      <c r="H9" s="35"/>
      <c r="I9" s="35"/>
    </row>
    <row r="10" spans="2:10" ht="15" customHeight="1">
      <c r="B10" s="715"/>
      <c r="C10" s="717"/>
      <c r="D10" s="717"/>
      <c r="E10" s="717"/>
      <c r="F10" s="717"/>
      <c r="G10" s="718"/>
      <c r="H10" s="35"/>
      <c r="I10" s="35"/>
    </row>
    <row r="11" spans="2:10" ht="15" customHeight="1" thickBot="1">
      <c r="B11" s="716"/>
      <c r="C11" s="727"/>
      <c r="D11" s="727"/>
      <c r="E11" s="727"/>
      <c r="F11" s="727"/>
      <c r="G11" s="728"/>
      <c r="H11" s="35"/>
      <c r="I11" s="35"/>
    </row>
    <row r="12" spans="2:10" ht="15" customHeight="1">
      <c r="B12" s="27"/>
      <c r="C12" s="159"/>
      <c r="D12" s="159"/>
      <c r="E12" s="159"/>
      <c r="F12" s="159"/>
      <c r="G12" s="159"/>
      <c r="H12" s="35"/>
      <c r="I12" s="35"/>
    </row>
    <row r="13" spans="2:10" ht="20.100000000000001" customHeight="1">
      <c r="B13" s="92" t="s">
        <v>193</v>
      </c>
    </row>
    <row r="14" spans="2:10" ht="15" customHeight="1" thickBot="1"/>
    <row r="15" spans="2:10" ht="15" customHeight="1">
      <c r="B15" s="309" t="s">
        <v>194</v>
      </c>
      <c r="C15" s="114" t="s">
        <v>195</v>
      </c>
      <c r="D15" s="310" t="s">
        <v>196</v>
      </c>
      <c r="E15" s="725" t="s">
        <v>197</v>
      </c>
      <c r="F15" s="726"/>
      <c r="G15" s="311" t="s">
        <v>198</v>
      </c>
    </row>
    <row r="16" spans="2:10" ht="15" customHeight="1">
      <c r="B16" s="429" t="s">
        <v>199</v>
      </c>
      <c r="C16" s="312">
        <f>$C$5*1.025*1.025*1.025</f>
        <v/>
      </c>
      <c r="D16" s="711"/>
      <c r="E16" s="705"/>
      <c r="F16" s="706"/>
      <c r="G16" s="314">
        <f>C16*6.61/1000</f>
        <v/>
      </c>
    </row>
    <row r="17" spans="2:9" ht="15" customHeight="1">
      <c r="B17" s="430" t="s">
        <v>200</v>
      </c>
      <c r="C17" s="312">
        <f>$D$5*1.025*1.025*1.025</f>
        <v/>
      </c>
      <c r="D17" s="712"/>
      <c r="E17" s="707"/>
      <c r="F17" s="708"/>
      <c r="G17" s="180">
        <f>C17*6.61/1000</f>
        <v/>
      </c>
    </row>
    <row r="18" spans="2:9" ht="15" customHeight="1">
      <c r="B18" s="430" t="s">
        <v>201</v>
      </c>
      <c r="C18" s="312">
        <f>$E$5*1.025*1.025*1.025</f>
        <v/>
      </c>
      <c r="D18" s="712"/>
      <c r="E18" s="707"/>
      <c r="F18" s="708"/>
      <c r="G18" s="300">
        <f>C18*6.61/1000</f>
        <v/>
      </c>
    </row>
    <row r="19" spans="2:9" ht="15" customHeight="1">
      <c r="B19" s="430" t="s">
        <v>202</v>
      </c>
      <c r="C19" s="312">
        <f>$F$5*1.025*1.025*1.025</f>
        <v/>
      </c>
      <c r="D19" s="712"/>
      <c r="E19" s="707"/>
      <c r="F19" s="708"/>
      <c r="G19" s="300">
        <f>C19*6.61/1000</f>
        <v/>
      </c>
    </row>
    <row r="20" spans="2:9" ht="15" customHeight="1">
      <c r="B20" s="430" t="s">
        <v>203</v>
      </c>
      <c r="C20" s="299"/>
      <c r="D20" s="713"/>
      <c r="E20" s="709"/>
      <c r="F20" s="710"/>
      <c r="G20" s="428"/>
    </row>
    <row r="21" spans="2:9" ht="15" customHeight="1" thickBot="1">
      <c r="B21" s="8" t="s">
        <v>204</v>
      </c>
      <c r="C21" s="722"/>
      <c r="D21" s="723"/>
      <c r="E21" s="723"/>
      <c r="F21" s="724"/>
      <c r="G21" s="89">
        <f>SUM(G16:G20)</f>
        <v/>
      </c>
    </row>
    <row r="22" spans="2:9" ht="15" customHeight="1">
      <c r="B22" s="35"/>
      <c r="C22" s="55"/>
      <c r="D22" s="55"/>
      <c r="E22" s="55"/>
      <c r="F22" s="55"/>
      <c r="G22" s="55"/>
      <c r="H22" s="55"/>
      <c r="I22" s="55"/>
    </row>
    <row r="23" spans="2:9" ht="20.100000000000001" customHeight="1">
      <c r="B23" s="92" t="s">
        <v>205</v>
      </c>
      <c r="C23" s="55"/>
      <c r="D23" s="55"/>
      <c r="E23" s="55"/>
      <c r="F23" s="55"/>
      <c r="G23" s="55"/>
      <c r="H23" s="55"/>
      <c r="I23" s="55"/>
    </row>
    <row r="24" spans="2:9" ht="15" customHeight="1" thickBot="1"/>
    <row r="25" spans="2:9" ht="15" customHeight="1">
      <c r="B25" s="309" t="s">
        <v>206</v>
      </c>
      <c r="C25" s="114" t="s">
        <v>195</v>
      </c>
      <c r="D25" s="310" t="s">
        <v>196</v>
      </c>
      <c r="E25" s="725" t="s">
        <v>197</v>
      </c>
      <c r="F25" s="726"/>
      <c r="G25" s="311" t="s">
        <v>198</v>
      </c>
    </row>
    <row r="26" spans="2:9" ht="15" customHeight="1">
      <c r="B26" s="429" t="s">
        <v>199</v>
      </c>
      <c r="C26" s="313">
        <f>C16*0</f>
        <v/>
      </c>
      <c r="D26" s="711"/>
      <c r="E26" s="705"/>
      <c r="F26" s="706"/>
      <c r="G26" s="314">
        <f>C26*5.52/1000</f>
        <v/>
      </c>
    </row>
    <row r="27" spans="2:9" ht="15" customHeight="1">
      <c r="B27" s="430" t="s">
        <v>200</v>
      </c>
      <c r="C27" s="313">
        <f>C17*1.025</f>
        <v/>
      </c>
      <c r="D27" s="712"/>
      <c r="E27" s="707"/>
      <c r="F27" s="708"/>
      <c r="G27" s="180">
        <f>C27*6.61/1000</f>
        <v/>
      </c>
    </row>
    <row r="28" spans="2:9" ht="15" customHeight="1">
      <c r="B28" s="430" t="s">
        <v>201</v>
      </c>
      <c r="C28" s="313">
        <f>C18*1.025</f>
        <v/>
      </c>
      <c r="D28" s="712"/>
      <c r="E28" s="707"/>
      <c r="F28" s="708"/>
      <c r="G28" s="300">
        <f>C28*6.61/1000</f>
        <v/>
      </c>
    </row>
    <row r="29" spans="2:9" ht="15" customHeight="1">
      <c r="B29" s="430" t="s">
        <v>207</v>
      </c>
      <c r="C29" s="313">
        <f>C19*1.025</f>
        <v/>
      </c>
      <c r="D29" s="712"/>
      <c r="E29" s="707"/>
      <c r="F29" s="708"/>
      <c r="G29" s="300">
        <f>C29*6.61/1000</f>
        <v/>
      </c>
    </row>
    <row r="30" spans="2:9" ht="15" customHeight="1">
      <c r="B30" s="430" t="s">
        <v>203</v>
      </c>
      <c r="C30" s="313"/>
      <c r="D30" s="713"/>
      <c r="E30" s="709"/>
      <c r="F30" s="710"/>
      <c r="G30" s="428"/>
    </row>
    <row r="31" spans="2:9" ht="15" customHeight="1" thickBot="1">
      <c r="B31" s="8" t="s">
        <v>204</v>
      </c>
      <c r="C31" s="722"/>
      <c r="D31" s="723"/>
      <c r="E31" s="723"/>
      <c r="F31" s="724"/>
      <c r="G31" s="89">
        <f>SUM(G26:G30)</f>
        <v/>
      </c>
    </row>
    <row r="32" spans="2:9" ht="15" customHeight="1"/>
    <row r="33" spans="2:7" ht="20.100000000000001" customHeight="1">
      <c r="B33" s="92" t="s">
        <v>208</v>
      </c>
    </row>
    <row r="34" spans="2:7" ht="15" customHeight="1" thickBot="1"/>
    <row r="35" spans="2:7" ht="15" customHeight="1">
      <c r="B35" s="309" t="s">
        <v>206</v>
      </c>
      <c r="C35" s="114" t="s">
        <v>195</v>
      </c>
      <c r="D35" s="310" t="s">
        <v>196</v>
      </c>
      <c r="E35" s="725" t="s">
        <v>197</v>
      </c>
      <c r="F35" s="726"/>
      <c r="G35" s="311" t="s">
        <v>198</v>
      </c>
    </row>
    <row r="36" spans="2:7" ht="15" customHeight="1">
      <c r="B36" s="429" t="s">
        <v>199</v>
      </c>
      <c r="C36" s="313">
        <f>C26*1.025</f>
        <v/>
      </c>
      <c r="D36" s="711"/>
      <c r="E36" s="705"/>
      <c r="F36" s="706"/>
      <c r="G36" s="314">
        <f>C36*5.52/1000</f>
        <v/>
      </c>
    </row>
    <row r="37" spans="2:7" ht="15" customHeight="1">
      <c r="B37" s="430" t="s">
        <v>200</v>
      </c>
      <c r="C37" s="313">
        <f>C27*1.025</f>
        <v/>
      </c>
      <c r="D37" s="712"/>
      <c r="E37" s="707"/>
      <c r="F37" s="708"/>
      <c r="G37" s="180">
        <f>C37*6.61/1000</f>
        <v/>
      </c>
    </row>
    <row r="38" spans="2:7" ht="15" customHeight="1">
      <c r="B38" s="430" t="s">
        <v>201</v>
      </c>
      <c r="C38" s="313">
        <f>C28*1.025</f>
        <v/>
      </c>
      <c r="D38" s="712"/>
      <c r="E38" s="707"/>
      <c r="F38" s="708"/>
      <c r="G38" s="300">
        <f>C38*6.61/1000</f>
        <v/>
      </c>
    </row>
    <row r="39" spans="2:7" ht="15" customHeight="1">
      <c r="B39" s="430" t="s">
        <v>207</v>
      </c>
      <c r="C39" s="313">
        <f>C29*1.025</f>
        <v/>
      </c>
      <c r="D39" s="712"/>
      <c r="E39" s="707"/>
      <c r="F39" s="708"/>
      <c r="G39" s="300">
        <f>C39*6.61/1000</f>
        <v/>
      </c>
    </row>
    <row r="40" spans="2:7" ht="15" customHeight="1">
      <c r="B40" s="430" t="s">
        <v>203</v>
      </c>
      <c r="C40" s="313"/>
      <c r="D40" s="713"/>
      <c r="E40" s="709"/>
      <c r="F40" s="710"/>
      <c r="G40" s="428"/>
    </row>
    <row r="41" spans="2:7" ht="15" customHeight="1" thickBot="1">
      <c r="B41" s="8" t="s">
        <v>204</v>
      </c>
      <c r="C41" s="722"/>
      <c r="D41" s="723"/>
      <c r="E41" s="723"/>
      <c r="F41" s="724"/>
      <c r="G41" s="89">
        <f>SUM(G36:G40)</f>
        <v/>
      </c>
    </row>
    <row r="42" spans="2:7" ht="15" customHeight="1"/>
    <row r="43" spans="2:7" ht="20.100000000000001" customHeight="1">
      <c r="B43" s="92" t="s">
        <v>209</v>
      </c>
    </row>
    <row r="44" spans="2:7" ht="15" customHeight="1" thickBot="1"/>
    <row r="45" spans="2:7" ht="15" customHeight="1">
      <c r="B45" s="309" t="s">
        <v>206</v>
      </c>
      <c r="C45" s="114" t="s">
        <v>195</v>
      </c>
      <c r="D45" s="310" t="s">
        <v>196</v>
      </c>
      <c r="E45" s="725" t="s">
        <v>197</v>
      </c>
      <c r="F45" s="726"/>
      <c r="G45" s="311" t="s">
        <v>198</v>
      </c>
    </row>
    <row r="46" spans="2:7" ht="15" customHeight="1">
      <c r="B46" s="429" t="s">
        <v>199</v>
      </c>
      <c r="C46" s="313">
        <f>C36*1.025</f>
        <v/>
      </c>
      <c r="D46" s="711"/>
      <c r="E46" s="705"/>
      <c r="F46" s="706"/>
      <c r="G46" s="314">
        <f>C46*5.52/1000</f>
        <v/>
      </c>
    </row>
    <row r="47" spans="2:7" ht="15" customHeight="1">
      <c r="B47" s="430" t="s">
        <v>200</v>
      </c>
      <c r="C47" s="313">
        <f>C37*1.025</f>
        <v/>
      </c>
      <c r="D47" s="712"/>
      <c r="E47" s="707"/>
      <c r="F47" s="708"/>
      <c r="G47" s="180">
        <f>C47*6.61/1000</f>
        <v/>
      </c>
    </row>
    <row r="48" spans="2:7" ht="15" customHeight="1">
      <c r="B48" s="430" t="s">
        <v>201</v>
      </c>
      <c r="C48" s="313">
        <f>C38*1.025</f>
        <v/>
      </c>
      <c r="D48" s="712"/>
      <c r="E48" s="707"/>
      <c r="F48" s="708"/>
      <c r="G48" s="300">
        <f>C48*6.61/1000</f>
        <v/>
      </c>
    </row>
    <row r="49" spans="2:7" ht="15" customHeight="1">
      <c r="B49" s="430" t="s">
        <v>207</v>
      </c>
      <c r="C49" s="313">
        <f>C39*1.025</f>
        <v/>
      </c>
      <c r="D49" s="712"/>
      <c r="E49" s="707"/>
      <c r="F49" s="708"/>
      <c r="G49" s="300">
        <f>C49*6.61/1000</f>
        <v/>
      </c>
    </row>
    <row r="50" spans="2:7" ht="15" customHeight="1">
      <c r="B50" s="430" t="s">
        <v>203</v>
      </c>
      <c r="C50" s="313"/>
      <c r="D50" s="713"/>
      <c r="E50" s="709"/>
      <c r="F50" s="710"/>
      <c r="G50" s="428"/>
    </row>
    <row r="51" spans="2:7" ht="15" customHeight="1" thickBot="1">
      <c r="B51" s="8" t="s">
        <v>204</v>
      </c>
      <c r="C51" s="722"/>
      <c r="D51" s="723"/>
      <c r="E51" s="723"/>
      <c r="F51" s="724"/>
      <c r="G51" s="89">
        <f>SUM(G46:G50)</f>
        <v/>
      </c>
    </row>
    <row r="52" spans="2:7" ht="15" customHeight="1"/>
    <row r="53" spans="2:7" ht="20.100000000000001" customHeight="1">
      <c r="B53" s="92" t="s">
        <v>210</v>
      </c>
    </row>
    <row r="54" spans="2:7" ht="15" customHeight="1" thickBot="1"/>
    <row r="55" spans="2:7" ht="15" customHeight="1">
      <c r="B55" s="309" t="s">
        <v>211</v>
      </c>
      <c r="C55" s="114" t="s">
        <v>195</v>
      </c>
      <c r="D55" s="310" t="s">
        <v>196</v>
      </c>
      <c r="E55" s="725" t="s">
        <v>197</v>
      </c>
      <c r="F55" s="726"/>
      <c r="G55" s="311" t="s">
        <v>198</v>
      </c>
    </row>
    <row r="56" spans="2:7" ht="15" customHeight="1">
      <c r="B56" s="429" t="s">
        <v>199</v>
      </c>
      <c r="C56" s="313">
        <f>C46*1.025</f>
        <v/>
      </c>
      <c r="D56" s="711"/>
      <c r="E56" s="705"/>
      <c r="F56" s="706"/>
      <c r="G56" s="314">
        <f>C56*5.52/1000</f>
        <v/>
      </c>
    </row>
    <row r="57" spans="2:7" ht="15" customHeight="1">
      <c r="B57" s="430" t="s">
        <v>200</v>
      </c>
      <c r="C57" s="313">
        <f>C47*1.025</f>
        <v/>
      </c>
      <c r="D57" s="712"/>
      <c r="E57" s="707"/>
      <c r="F57" s="708"/>
      <c r="G57" s="180">
        <f>C57*6.61/1000</f>
        <v/>
      </c>
    </row>
    <row r="58" spans="2:7" ht="15" customHeight="1">
      <c r="B58" s="430" t="s">
        <v>201</v>
      </c>
      <c r="C58" s="313">
        <f>C48*1.025</f>
        <v/>
      </c>
      <c r="D58" s="712"/>
      <c r="E58" s="707"/>
      <c r="F58" s="708"/>
      <c r="G58" s="300">
        <f>C58*6.61/1000</f>
        <v/>
      </c>
    </row>
    <row r="59" spans="2:7" ht="15" customHeight="1">
      <c r="B59" s="430" t="s">
        <v>207</v>
      </c>
      <c r="C59" s="313">
        <f>C49*1.025</f>
        <v/>
      </c>
      <c r="D59" s="712"/>
      <c r="E59" s="707"/>
      <c r="F59" s="708"/>
      <c r="G59" s="300">
        <f>C59*6.61/1000</f>
        <v/>
      </c>
    </row>
    <row r="60" spans="2:7" ht="15" customHeight="1">
      <c r="B60" s="430" t="s">
        <v>203</v>
      </c>
      <c r="C60" s="313"/>
      <c r="D60" s="713"/>
      <c r="E60" s="709"/>
      <c r="F60" s="710"/>
      <c r="G60" s="428"/>
    </row>
    <row r="61" spans="2:7" ht="15" customHeight="1" thickBot="1">
      <c r="B61" s="8" t="s">
        <v>204</v>
      </c>
      <c r="C61" s="722"/>
      <c r="D61" s="723"/>
      <c r="E61" s="723"/>
      <c r="F61" s="724"/>
      <c r="G61" s="89">
        <f>SUM(G56:G60)</f>
        <v/>
      </c>
    </row>
    <row r="64" spans="2:7" ht="15" customHeight="1"/>
    <row r="65" ht="20.100000000000001" customHeight="1"/>
    <row r="66" ht="15" customHeight="1"/>
    <row r="70" ht="15" customHeight="1"/>
    <row r="71" ht="20.100000000000001" customHeight="1"/>
    <row r="72" ht="15" customHeight="1"/>
  </sheetData>
  <mergeCells count="29">
    <mergeCell ref="D16:D20"/>
    <mergeCell ref="E16:F20"/>
    <mergeCell ref="B4:B5"/>
    <mergeCell ref="B2:D2"/>
    <mergeCell ref="C61:F61"/>
    <mergeCell ref="C51:F51"/>
    <mergeCell ref="C41:F41"/>
    <mergeCell ref="C31:F31"/>
    <mergeCell ref="C21:F21"/>
    <mergeCell ref="E55:F55"/>
    <mergeCell ref="E45:F45"/>
    <mergeCell ref="E35:F35"/>
    <mergeCell ref="E25:F25"/>
    <mergeCell ref="C10:G10"/>
    <mergeCell ref="C11:G11"/>
    <mergeCell ref="E15:F15"/>
    <mergeCell ref="B6:B11"/>
    <mergeCell ref="C6:G6"/>
    <mergeCell ref="C7:G7"/>
    <mergeCell ref="C8:G8"/>
    <mergeCell ref="C9:G9"/>
    <mergeCell ref="E26:F30"/>
    <mergeCell ref="E36:F40"/>
    <mergeCell ref="E46:F50"/>
    <mergeCell ref="E56:F60"/>
    <mergeCell ref="D56:D60"/>
    <mergeCell ref="D46:D50"/>
    <mergeCell ref="D36:D40"/>
    <mergeCell ref="D26:D30"/>
  </mergeCells>
  <phoneticPr fontId="2" type="noConversion"/>
  <pageMargins left="0.75" right="0.75" top="1" bottom="1" header="0.5" footer="0.5"/>
  <pageSetup paperSize="9" scale="8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B1:AG48"/>
  <sheetViews>
    <sheetView topLeftCell="A14" zoomScaleNormal="100" workbookViewId="0">
      <selection activeCell="B36" sqref="B36:J36"/>
    </sheetView>
  </sheetViews>
  <sheetFormatPr defaultColWidth="8.88671875" defaultRowHeight="14.25"/>
  <cols>
    <col min="1" max="1" width="5.5546875" style="34" customWidth="1"/>
    <col min="2" max="2" width="10.6640625" style="34" customWidth="1"/>
    <col min="3" max="3" width="2.5546875" style="145" customWidth="1"/>
    <col min="4" max="4" width="4.5546875" style="145" customWidth="1"/>
    <col min="5" max="5" width="2.5546875" style="145" customWidth="1"/>
    <col min="6" max="6" width="8.6640625" style="34" customWidth="1"/>
    <col min="7" max="7" width="4.6640625" style="85" customWidth="1"/>
    <col min="8" max="9" width="8.6640625" style="34" customWidth="1"/>
    <col min="10" max="10" width="4.6640625" style="85" customWidth="1"/>
    <col min="11" max="12" width="8.6640625" style="34" customWidth="1"/>
    <col min="13" max="13" width="4.6640625" style="85" customWidth="1"/>
    <col min="14" max="15" width="8.6640625" style="34" customWidth="1"/>
    <col min="16" max="16" width="4.6640625" style="85" customWidth="1"/>
    <col min="17" max="18" width="8.6640625" style="34" customWidth="1"/>
    <col min="19" max="19" width="4.6640625" style="85" customWidth="1"/>
    <col min="20" max="21" width="8.6640625" style="34" customWidth="1"/>
    <col min="22" max="27" width="10.77734375" style="34" customWidth="1"/>
    <col min="28" max="28" width="7.109375" style="34" customWidth="1"/>
    <col min="29" max="29" width="7.88671875" style="34" customWidth="1"/>
    <col min="30" max="30" width="11" style="34" customWidth="1"/>
    <col min="31" max="16384" width="8.88671875" style="34"/>
  </cols>
  <sheetData>
    <row r="1" spans="2:21" ht="15" customHeight="1"/>
    <row r="2" spans="2:21" ht="24.95" customHeight="1">
      <c r="B2" s="446" t="s">
        <v>212</v>
      </c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Q2" s="13"/>
      <c r="R2" s="13"/>
      <c r="S2" s="219"/>
      <c r="T2" s="13"/>
      <c r="U2" s="13"/>
    </row>
    <row r="3" spans="2:21" ht="15" customHeight="1">
      <c r="B3" s="27"/>
      <c r="E3" s="144"/>
      <c r="F3" s="36"/>
      <c r="G3" s="218"/>
      <c r="H3" s="13"/>
      <c r="I3" s="13"/>
      <c r="J3" s="219"/>
      <c r="K3" s="13"/>
      <c r="L3" s="13"/>
      <c r="M3" s="219"/>
      <c r="N3" s="13"/>
      <c r="O3" s="13"/>
      <c r="P3" s="219"/>
      <c r="Q3" s="13"/>
      <c r="R3" s="13"/>
      <c r="S3" s="219"/>
      <c r="T3" s="13"/>
      <c r="U3" s="13"/>
    </row>
    <row r="4" spans="2:21" ht="20.100000000000001" customHeight="1">
      <c r="B4" s="647" t="s">
        <v>213</v>
      </c>
      <c r="C4" s="647"/>
      <c r="D4" s="647"/>
      <c r="E4" s="647"/>
      <c r="F4" s="647"/>
      <c r="G4" s="647"/>
      <c r="H4" s="647"/>
      <c r="I4" s="647"/>
    </row>
    <row r="5" spans="2:21" ht="15" customHeight="1" thickBot="1">
      <c r="T5" s="733" t="s">
        <v>214</v>
      </c>
      <c r="U5" s="733"/>
    </row>
    <row r="6" spans="2:21" ht="20.100000000000001" customHeight="1">
      <c r="B6" s="734" t="s">
        <v>215</v>
      </c>
      <c r="C6" s="735"/>
      <c r="D6" s="735"/>
      <c r="E6" s="735"/>
      <c r="F6" s="741"/>
      <c r="G6" s="742"/>
      <c r="H6" s="743"/>
      <c r="I6" s="744"/>
      <c r="J6" s="745"/>
      <c r="K6" s="746"/>
      <c r="L6" s="741"/>
      <c r="M6" s="742"/>
      <c r="N6" s="743"/>
      <c r="O6" s="744"/>
      <c r="P6" s="745"/>
      <c r="Q6" s="746"/>
      <c r="R6" s="741"/>
      <c r="S6" s="742"/>
      <c r="T6" s="743"/>
      <c r="U6" s="755" t="s">
        <v>216</v>
      </c>
    </row>
    <row r="7" spans="2:21" ht="24.95" customHeight="1">
      <c r="B7" s="736"/>
      <c r="C7" s="737"/>
      <c r="D7" s="737"/>
      <c r="E7" s="737"/>
      <c r="F7" s="348" t="s">
        <v>217</v>
      </c>
      <c r="G7" s="348" t="s">
        <v>218</v>
      </c>
      <c r="H7" s="348" t="s">
        <v>219</v>
      </c>
      <c r="I7" s="348" t="s">
        <v>217</v>
      </c>
      <c r="J7" s="348" t="s">
        <v>220</v>
      </c>
      <c r="K7" s="348" t="s">
        <v>219</v>
      </c>
      <c r="L7" s="348" t="s">
        <v>217</v>
      </c>
      <c r="M7" s="348" t="s">
        <v>220</v>
      </c>
      <c r="N7" s="348" t="s">
        <v>219</v>
      </c>
      <c r="O7" s="348" t="s">
        <v>217</v>
      </c>
      <c r="P7" s="348" t="s">
        <v>220</v>
      </c>
      <c r="Q7" s="348" t="s">
        <v>219</v>
      </c>
      <c r="R7" s="348" t="s">
        <v>217</v>
      </c>
      <c r="S7" s="348" t="s">
        <v>218</v>
      </c>
      <c r="T7" s="348" t="s">
        <v>219</v>
      </c>
      <c r="U7" s="756"/>
    </row>
    <row r="8" spans="2:21" s="35" customFormat="1" ht="20.100000000000001" customHeight="1">
      <c r="B8" s="757" t="s">
        <v>221</v>
      </c>
      <c r="C8" s="730" t="s">
        <v>222</v>
      </c>
      <c r="D8" s="731"/>
      <c r="E8" s="732"/>
      <c r="F8" s="213">
        <f>Y34</f>
        <v/>
      </c>
      <c r="G8" s="214">
        <f>365*0.5*0.9</f>
        <v/>
      </c>
      <c r="H8" s="213">
        <f>F8*G8/1000</f>
        <v/>
      </c>
      <c r="I8" s="213">
        <f>F8*(1+$AC$38)</f>
        <v/>
      </c>
      <c r="J8" s="214">
        <f>365*0.6*0.9</f>
        <v/>
      </c>
      <c r="K8" s="213">
        <f>I8*J8/1000</f>
        <v/>
      </c>
      <c r="L8" s="213">
        <f>I8*(1+$AC$38)</f>
        <v/>
      </c>
      <c r="M8" s="214">
        <f>J8</f>
        <v/>
      </c>
      <c r="N8" s="213">
        <f>L8*M8/1000</f>
        <v/>
      </c>
      <c r="O8" s="213">
        <f>L8*(1+$AC$38)</f>
        <v/>
      </c>
      <c r="P8" s="214">
        <f>J8</f>
        <v/>
      </c>
      <c r="Q8" s="213">
        <f>O8*P8/1000</f>
        <v/>
      </c>
      <c r="R8" s="213">
        <f>O8*(1+$AC$38)</f>
        <v/>
      </c>
      <c r="S8" s="214">
        <f>P8</f>
        <v/>
      </c>
      <c r="T8" s="213">
        <f>R8*S8/1000</f>
        <v/>
      </c>
      <c r="U8" s="747"/>
    </row>
    <row r="9" spans="2:21" s="35" customFormat="1" ht="20.100000000000001" customHeight="1">
      <c r="B9" s="758"/>
      <c r="C9" s="730" t="s">
        <v>223</v>
      </c>
      <c r="D9" s="731"/>
      <c r="E9" s="732"/>
      <c r="F9" s="213"/>
      <c r="G9" s="214"/>
      <c r="H9" s="213"/>
      <c r="I9" s="213"/>
      <c r="J9" s="214"/>
      <c r="K9" s="213"/>
      <c r="L9" s="213"/>
      <c r="M9" s="214"/>
      <c r="N9" s="213"/>
      <c r="O9" s="213"/>
      <c r="P9" s="214"/>
      <c r="Q9" s="213"/>
      <c r="R9" s="213"/>
      <c r="S9" s="214"/>
      <c r="T9" s="213"/>
      <c r="U9" s="748"/>
    </row>
    <row r="10" spans="2:21" ht="20.100000000000001" customHeight="1">
      <c r="B10" s="759"/>
      <c r="C10" s="730" t="s">
        <v>224</v>
      </c>
      <c r="D10" s="731"/>
      <c r="E10" s="732"/>
      <c r="F10" s="215">
        <f>F8+F9</f>
        <v/>
      </c>
      <c r="G10" s="216">
        <f>G8</f>
        <v/>
      </c>
      <c r="H10" s="215">
        <f>H8+H9</f>
        <v/>
      </c>
      <c r="I10" s="215">
        <f>I8+I9</f>
        <v/>
      </c>
      <c r="J10" s="216">
        <f t="shared" ref="J10:S10" si="0">J8</f>
        <v/>
      </c>
      <c r="K10" s="215">
        <f>K8+K9</f>
        <v/>
      </c>
      <c r="L10" s="215">
        <f>L8+L9</f>
        <v/>
      </c>
      <c r="M10" s="216">
        <f t="shared" si="0"/>
        <v/>
      </c>
      <c r="N10" s="215">
        <f>N8+N9</f>
        <v/>
      </c>
      <c r="O10" s="215">
        <f>O8+O9</f>
        <v/>
      </c>
      <c r="P10" s="216">
        <f t="shared" si="0"/>
        <v/>
      </c>
      <c r="Q10" s="215">
        <f>Q8+Q9</f>
        <v/>
      </c>
      <c r="R10" s="215">
        <f>R8+R9</f>
        <v/>
      </c>
      <c r="S10" s="216">
        <f t="shared" si="0"/>
        <v/>
      </c>
      <c r="T10" s="215">
        <f>T8+T9</f>
        <v/>
      </c>
      <c r="U10" s="748"/>
    </row>
    <row r="11" spans="2:21" ht="20.100000000000001" customHeight="1">
      <c r="B11" s="738" t="s">
        <v>225</v>
      </c>
      <c r="C11" s="750" t="s">
        <v>226</v>
      </c>
      <c r="D11" s="750" t="s">
        <v>227</v>
      </c>
      <c r="E11" s="358" t="s">
        <v>228</v>
      </c>
      <c r="F11" s="215">
        <f>Y34</f>
        <v/>
      </c>
      <c r="G11" s="217"/>
      <c r="H11" s="215">
        <f>F11*G11/1000</f>
        <v/>
      </c>
      <c r="I11" s="213">
        <f>F11*(1+$AC$38)</f>
        <v/>
      </c>
      <c r="J11" s="217"/>
      <c r="K11" s="215">
        <f>I11*J11/1000</f>
        <v/>
      </c>
      <c r="L11" s="213">
        <f>I11*(1+$AC$38)</f>
        <v/>
      </c>
      <c r="M11" s="217"/>
      <c r="N11" s="215">
        <f>L11*M11/1000</f>
        <v/>
      </c>
      <c r="O11" s="213">
        <f>L11*(1+$AC$38)</f>
        <v/>
      </c>
      <c r="P11" s="217"/>
      <c r="Q11" s="215">
        <f>O11*P11/1000</f>
        <v/>
      </c>
      <c r="R11" s="213">
        <f>O11*(1+$AC$38)</f>
        <v/>
      </c>
      <c r="S11" s="217"/>
      <c r="T11" s="215">
        <f>R11*S11/1000</f>
        <v/>
      </c>
      <c r="U11" s="748"/>
    </row>
    <row r="12" spans="2:21" ht="20.100000000000001" customHeight="1">
      <c r="B12" s="738"/>
      <c r="C12" s="751"/>
      <c r="D12" s="751"/>
      <c r="E12" s="358" t="s">
        <v>229</v>
      </c>
      <c r="F12" s="215">
        <f>Z34</f>
        <v/>
      </c>
      <c r="G12" s="217"/>
      <c r="H12" s="215">
        <f>F12*G12/1000</f>
        <v/>
      </c>
      <c r="I12" s="215">
        <f>F12*(1+$AD$38)</f>
        <v/>
      </c>
      <c r="J12" s="217"/>
      <c r="K12" s="215">
        <f>I12*J12/1000</f>
        <v/>
      </c>
      <c r="L12" s="215">
        <f>I12*(1+$AD$38)</f>
        <v/>
      </c>
      <c r="M12" s="217"/>
      <c r="N12" s="215">
        <f>L12*M12/1000</f>
        <v/>
      </c>
      <c r="O12" s="215">
        <f>L12*(1+$AD$38)</f>
        <v/>
      </c>
      <c r="P12" s="217"/>
      <c r="Q12" s="215">
        <f>O12*P12/1000</f>
        <v/>
      </c>
      <c r="R12" s="215">
        <f>O12*(1+$AD$38)</f>
        <v/>
      </c>
      <c r="S12" s="217"/>
      <c r="T12" s="215">
        <f>R12*S12/1000</f>
        <v/>
      </c>
      <c r="U12" s="748"/>
    </row>
    <row r="13" spans="2:21" ht="20.100000000000001" customHeight="1">
      <c r="B13" s="738"/>
      <c r="C13" s="754" t="s">
        <v>224</v>
      </c>
      <c r="D13" s="754"/>
      <c r="E13" s="754"/>
      <c r="F13" s="215">
        <f t="shared" ref="F13:T13" si="1">F11+F12</f>
        <v/>
      </c>
      <c r="G13" s="217"/>
      <c r="H13" s="215">
        <f t="shared" si="1"/>
        <v/>
      </c>
      <c r="I13" s="215">
        <f>I11+I12</f>
        <v/>
      </c>
      <c r="J13" s="217">
        <f t="shared" si="1"/>
        <v/>
      </c>
      <c r="K13" s="215">
        <f t="shared" si="1"/>
        <v/>
      </c>
      <c r="L13" s="215">
        <f>L11+L12</f>
        <v/>
      </c>
      <c r="M13" s="217">
        <f t="shared" si="1"/>
        <v/>
      </c>
      <c r="N13" s="215">
        <f t="shared" si="1"/>
        <v/>
      </c>
      <c r="O13" s="215">
        <f>O11+O12</f>
        <v/>
      </c>
      <c r="P13" s="217"/>
      <c r="Q13" s="215">
        <f t="shared" si="1"/>
        <v/>
      </c>
      <c r="R13" s="215">
        <f t="shared" si="1"/>
        <v/>
      </c>
      <c r="S13" s="217">
        <f t="shared" si="1"/>
        <v/>
      </c>
      <c r="T13" s="215">
        <f t="shared" si="1"/>
        <v/>
      </c>
      <c r="U13" s="748"/>
    </row>
    <row r="14" spans="2:21" ht="20.100000000000001" customHeight="1">
      <c r="B14" s="739"/>
      <c r="C14" s="750" t="s">
        <v>230</v>
      </c>
      <c r="D14" s="750" t="s">
        <v>231</v>
      </c>
      <c r="E14" s="751"/>
      <c r="F14" s="358"/>
      <c r="G14" s="358"/>
      <c r="H14" s="358"/>
      <c r="I14" s="358"/>
      <c r="J14" s="358"/>
      <c r="K14" s="358"/>
      <c r="L14" s="358"/>
      <c r="M14" s="358"/>
      <c r="N14" s="358"/>
      <c r="O14" s="358"/>
      <c r="P14" s="358"/>
      <c r="Q14" s="358"/>
      <c r="R14" s="358"/>
      <c r="S14" s="358"/>
      <c r="T14" s="358"/>
      <c r="U14" s="748"/>
    </row>
    <row r="15" spans="2:21" ht="20.100000000000001" customHeight="1">
      <c r="B15" s="739"/>
      <c r="C15" s="750"/>
      <c r="D15" s="750" t="s">
        <v>232</v>
      </c>
      <c r="E15" s="751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  <c r="U15" s="748"/>
    </row>
    <row r="16" spans="2:21" ht="24.95" customHeight="1" thickBot="1">
      <c r="B16" s="740"/>
      <c r="C16" s="752"/>
      <c r="D16" s="752" t="s">
        <v>233</v>
      </c>
      <c r="E16" s="753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749"/>
    </row>
    <row r="17" spans="2:33" ht="15" customHeight="1">
      <c r="B17" s="770"/>
      <c r="C17" s="770"/>
      <c r="D17" s="770"/>
      <c r="E17" s="770"/>
      <c r="F17" s="770"/>
      <c r="G17" s="770"/>
      <c r="H17" s="770"/>
      <c r="I17" s="770"/>
      <c r="J17" s="770"/>
      <c r="K17" s="770"/>
      <c r="L17" s="770"/>
      <c r="M17" s="770"/>
      <c r="N17" s="770"/>
      <c r="O17" s="770"/>
      <c r="P17" s="770"/>
      <c r="Q17" s="770"/>
      <c r="R17" s="770"/>
      <c r="S17" s="770"/>
      <c r="T17" s="770"/>
      <c r="U17" s="770"/>
    </row>
    <row r="18" spans="2:33" ht="15" customHeight="1">
      <c r="B18" s="771"/>
      <c r="C18" s="771"/>
      <c r="D18" s="771"/>
      <c r="E18" s="771"/>
      <c r="F18" s="771"/>
      <c r="G18" s="771"/>
      <c r="H18" s="771"/>
      <c r="I18" s="771"/>
      <c r="J18" s="771"/>
      <c r="K18" s="771"/>
      <c r="L18" s="771"/>
      <c r="M18" s="771"/>
      <c r="N18" s="771"/>
      <c r="O18" s="771"/>
      <c r="P18" s="771"/>
      <c r="Q18" s="771"/>
      <c r="R18" s="771"/>
      <c r="S18" s="771"/>
      <c r="T18" s="771"/>
      <c r="U18" s="771"/>
    </row>
    <row r="19" spans="2:33" ht="15" customHeight="1">
      <c r="B19" s="769"/>
      <c r="C19" s="769"/>
      <c r="D19" s="769"/>
      <c r="E19" s="769"/>
      <c r="F19" s="769"/>
      <c r="G19" s="769"/>
      <c r="H19" s="769"/>
      <c r="I19" s="769"/>
      <c r="J19" s="769"/>
      <c r="K19" s="769"/>
      <c r="L19" s="769"/>
      <c r="M19" s="769"/>
      <c r="N19" s="769"/>
      <c r="O19" s="769"/>
      <c r="P19" s="769"/>
      <c r="Q19" s="769"/>
      <c r="R19" s="769"/>
      <c r="S19" s="769"/>
      <c r="T19" s="769"/>
      <c r="U19" s="769"/>
    </row>
    <row r="20" spans="2:33" ht="15" customHeight="1">
      <c r="B20" s="769"/>
      <c r="C20" s="769"/>
      <c r="D20" s="769"/>
      <c r="E20" s="769"/>
      <c r="F20" s="769"/>
      <c r="G20" s="769"/>
      <c r="H20" s="769"/>
      <c r="I20" s="769"/>
      <c r="J20" s="769"/>
      <c r="K20" s="769"/>
      <c r="L20" s="769"/>
      <c r="M20" s="769"/>
      <c r="N20" s="769"/>
      <c r="O20" s="769"/>
      <c r="P20" s="769"/>
      <c r="Q20" s="769"/>
      <c r="R20" s="769"/>
      <c r="S20" s="769"/>
      <c r="T20" s="769"/>
      <c r="U20" s="769"/>
    </row>
    <row r="21" spans="2:33" ht="15" customHeight="1">
      <c r="B21" s="769"/>
      <c r="C21" s="769"/>
      <c r="D21" s="769"/>
      <c r="E21" s="769"/>
      <c r="F21" s="769"/>
      <c r="G21" s="769"/>
      <c r="H21" s="769"/>
      <c r="I21" s="769"/>
      <c r="J21" s="769"/>
      <c r="K21" s="769"/>
      <c r="L21" s="769"/>
      <c r="M21" s="769"/>
      <c r="N21" s="769"/>
      <c r="O21" s="769"/>
      <c r="P21" s="769"/>
      <c r="Q21" s="769"/>
      <c r="R21" s="769"/>
      <c r="S21" s="769"/>
      <c r="T21" s="769"/>
      <c r="U21" s="769"/>
    </row>
    <row r="22" spans="2:33" s="308" customFormat="1" ht="20.100000000000001" customHeight="1">
      <c r="B22" s="647" t="s">
        <v>234</v>
      </c>
      <c r="C22" s="647"/>
      <c r="D22" s="647"/>
      <c r="E22" s="647"/>
      <c r="F22" s="647"/>
      <c r="G22" s="647"/>
      <c r="H22" s="647"/>
      <c r="I22" s="647"/>
      <c r="J22" s="647"/>
      <c r="M22" s="317"/>
      <c r="P22" s="317"/>
      <c r="S22" s="317"/>
    </row>
    <row r="23" spans="2:33" s="308" customFormat="1" ht="15" customHeight="1" thickBot="1">
      <c r="J23" s="317"/>
      <c r="M23" s="317"/>
      <c r="P23" s="317"/>
      <c r="S23" s="317"/>
    </row>
    <row r="24" spans="2:33" ht="15" customHeight="1">
      <c r="B24" s="764" t="s">
        <v>235</v>
      </c>
      <c r="C24" s="763"/>
      <c r="D24" s="763"/>
      <c r="E24" s="763"/>
      <c r="F24" s="763"/>
      <c r="G24" s="763"/>
      <c r="H24" s="763"/>
      <c r="I24" s="763" t="s">
        <v>236</v>
      </c>
      <c r="J24" s="763"/>
      <c r="K24" s="763" t="s">
        <v>221</v>
      </c>
      <c r="L24" s="763"/>
      <c r="M24" s="763"/>
      <c r="N24" s="763"/>
      <c r="O24" s="763" t="s">
        <v>237</v>
      </c>
      <c r="P24" s="763"/>
      <c r="Q24" s="763"/>
      <c r="R24" s="763" t="s">
        <v>238</v>
      </c>
      <c r="S24" s="763"/>
      <c r="T24" s="763"/>
      <c r="U24" s="774"/>
      <c r="W24" s="431"/>
      <c r="X24" s="729" t="s">
        <v>239</v>
      </c>
      <c r="Y24" s="729"/>
      <c r="Z24" s="431"/>
      <c r="AA24" s="431"/>
      <c r="AB24" s="431"/>
      <c r="AC24" s="431"/>
      <c r="AD24" s="431"/>
      <c r="AE24" s="431"/>
      <c r="AF24" s="431"/>
      <c r="AG24" s="431"/>
    </row>
    <row r="25" spans="2:33" ht="15" customHeight="1">
      <c r="B25" s="765"/>
      <c r="C25" s="766"/>
      <c r="D25" s="766"/>
      <c r="E25" s="766"/>
      <c r="F25" s="766"/>
      <c r="G25" s="766"/>
      <c r="H25" s="766"/>
      <c r="I25" s="766"/>
      <c r="J25" s="766"/>
      <c r="K25" s="357" t="s">
        <v>240</v>
      </c>
      <c r="L25" s="766" t="s">
        <v>241</v>
      </c>
      <c r="M25" s="766"/>
      <c r="N25" s="357" t="s">
        <v>242</v>
      </c>
      <c r="O25" s="357" t="s">
        <v>243</v>
      </c>
      <c r="P25" s="772" t="s">
        <v>244</v>
      </c>
      <c r="Q25" s="772"/>
      <c r="R25" s="357" t="s">
        <v>240</v>
      </c>
      <c r="S25" s="766" t="s">
        <v>245</v>
      </c>
      <c r="T25" s="766"/>
      <c r="U25" s="364" t="s">
        <v>246</v>
      </c>
      <c r="W25" s="431"/>
      <c r="X25" s="432"/>
      <c r="Y25" s="432" t="s">
        <v>247</v>
      </c>
      <c r="Z25" s="431" t="s">
        <v>248</v>
      </c>
      <c r="AA25" s="431"/>
      <c r="AB25" s="433" t="s">
        <v>249</v>
      </c>
      <c r="AC25" s="433"/>
      <c r="AD25" s="433"/>
      <c r="AE25" s="431"/>
      <c r="AF25" s="431"/>
      <c r="AG25" s="431"/>
    </row>
    <row r="26" spans="2:33" ht="15" customHeight="1">
      <c r="B26" s="760" t="s">
        <v>250</v>
      </c>
      <c r="C26" s="761"/>
      <c r="D26" s="761"/>
      <c r="E26" s="761"/>
      <c r="F26" s="761"/>
      <c r="G26" s="761"/>
      <c r="H26" s="761"/>
      <c r="I26" s="762"/>
      <c r="J26" s="762"/>
      <c r="K26" s="316"/>
      <c r="L26" s="762">
        <f>Y34</f>
        <v/>
      </c>
      <c r="M26" s="762"/>
      <c r="N26" s="318">
        <f>K26*L26/1000</f>
        <v/>
      </c>
      <c r="O26" s="316">
        <f>0</f>
        <v/>
      </c>
      <c r="P26" s="773">
        <f>Y34</f>
        <v/>
      </c>
      <c r="Q26" s="773"/>
      <c r="R26" s="316">
        <f>0</f>
        <v/>
      </c>
      <c r="S26" s="762">
        <f>Z32</f>
        <v/>
      </c>
      <c r="T26" s="762"/>
      <c r="U26" s="356">
        <f>R26*S26/1000</f>
        <v/>
      </c>
      <c r="W26" s="434" t="s">
        <v>251</v>
      </c>
      <c r="X26" s="435"/>
      <c r="Y26" s="436"/>
      <c r="Z26" s="436"/>
      <c r="AA26" s="431"/>
      <c r="AB26" s="433">
        <f>X26+1</f>
        <v/>
      </c>
      <c r="AC26" s="437">
        <f t="shared" ref="AC26:AD30" si="2">(Y27-Y26)/Y26</f>
        <v/>
      </c>
      <c r="AD26" s="437">
        <f t="shared" si="2"/>
        <v/>
      </c>
      <c r="AE26" s="431"/>
      <c r="AF26" s="431"/>
      <c r="AG26" s="431"/>
    </row>
    <row r="27" spans="2:33" ht="15" customHeight="1">
      <c r="B27" s="760" t="s">
        <v>252</v>
      </c>
      <c r="C27" s="761"/>
      <c r="D27" s="761"/>
      <c r="E27" s="761"/>
      <c r="F27" s="761"/>
      <c r="G27" s="761"/>
      <c r="H27" s="761"/>
      <c r="I27" s="762"/>
      <c r="J27" s="762"/>
      <c r="K27" s="316"/>
      <c r="L27" s="762">
        <f>L26</f>
        <v/>
      </c>
      <c r="M27" s="762"/>
      <c r="N27" s="318">
        <f t="shared" ref="N27:N33" si="3">K27*L27/1000</f>
        <v/>
      </c>
      <c r="O27" s="316">
        <f>0</f>
        <v/>
      </c>
      <c r="P27" s="773">
        <f>P26</f>
        <v/>
      </c>
      <c r="Q27" s="773"/>
      <c r="R27" s="316">
        <f>0</f>
        <v/>
      </c>
      <c r="S27" s="762">
        <f>S26</f>
        <v/>
      </c>
      <c r="T27" s="762"/>
      <c r="U27" s="356">
        <f t="shared" ref="U27:U33" si="4">R27*S27/1000</f>
        <v/>
      </c>
      <c r="W27" s="434"/>
      <c r="X27" s="435">
        <f t="shared" ref="X27:X38" si="5">X26+1</f>
        <v/>
      </c>
      <c r="Y27" s="436"/>
      <c r="Z27" s="436">
        <f>Z28</f>
        <v/>
      </c>
      <c r="AA27" s="431"/>
      <c r="AB27" s="433">
        <f t="shared" ref="AB27:AB37" si="6">AB26+1</f>
        <v/>
      </c>
      <c r="AC27" s="437">
        <f t="shared" si="2"/>
        <v/>
      </c>
      <c r="AD27" s="437">
        <f t="shared" si="2"/>
        <v/>
      </c>
      <c r="AE27" s="431"/>
      <c r="AF27" s="431"/>
      <c r="AG27" s="431"/>
    </row>
    <row r="28" spans="2:33" ht="15" customHeight="1">
      <c r="B28" s="760" t="s">
        <v>253</v>
      </c>
      <c r="C28" s="761"/>
      <c r="D28" s="761"/>
      <c r="E28" s="761"/>
      <c r="F28" s="761"/>
      <c r="G28" s="761"/>
      <c r="H28" s="761"/>
      <c r="I28" s="762"/>
      <c r="J28" s="762"/>
      <c r="K28" s="316"/>
      <c r="L28" s="762">
        <f t="shared" ref="L28:L33" si="7">L27</f>
        <v/>
      </c>
      <c r="M28" s="762"/>
      <c r="N28" s="318">
        <f t="shared" si="3"/>
        <v/>
      </c>
      <c r="O28" s="316">
        <f>0</f>
        <v/>
      </c>
      <c r="P28" s="773">
        <f t="shared" ref="P28:P33" si="8">P27</f>
        <v/>
      </c>
      <c r="Q28" s="773"/>
      <c r="R28" s="316">
        <f>0</f>
        <v/>
      </c>
      <c r="S28" s="762">
        <f t="shared" ref="S28:S33" si="9">S27</f>
        <v/>
      </c>
      <c r="T28" s="762"/>
      <c r="U28" s="356">
        <f t="shared" si="4"/>
        <v/>
      </c>
      <c r="W28" s="434"/>
      <c r="X28" s="435">
        <f t="shared" si="5"/>
        <v/>
      </c>
      <c r="Y28" s="436"/>
      <c r="Z28" s="436"/>
      <c r="AA28" s="431"/>
      <c r="AB28" s="433">
        <f t="shared" si="6"/>
        <v/>
      </c>
      <c r="AC28" s="437">
        <f t="shared" si="2"/>
        <v/>
      </c>
      <c r="AD28" s="437">
        <f t="shared" si="2"/>
        <v/>
      </c>
      <c r="AE28" s="431"/>
      <c r="AF28" s="431"/>
      <c r="AG28" s="431"/>
    </row>
    <row r="29" spans="2:33" ht="15" customHeight="1">
      <c r="B29" s="760"/>
      <c r="C29" s="761"/>
      <c r="D29" s="761"/>
      <c r="E29" s="761"/>
      <c r="F29" s="761"/>
      <c r="G29" s="761"/>
      <c r="H29" s="761"/>
      <c r="I29" s="762"/>
      <c r="J29" s="762"/>
      <c r="K29" s="316"/>
      <c r="L29" s="762">
        <f t="shared" si="7"/>
        <v/>
      </c>
      <c r="M29" s="762"/>
      <c r="N29" s="318">
        <f t="shared" si="3"/>
        <v/>
      </c>
      <c r="O29" s="316">
        <f>0</f>
        <v/>
      </c>
      <c r="P29" s="773">
        <f t="shared" si="8"/>
        <v/>
      </c>
      <c r="Q29" s="773"/>
      <c r="R29" s="316">
        <f>0</f>
        <v/>
      </c>
      <c r="S29" s="762">
        <f t="shared" si="9"/>
        <v/>
      </c>
      <c r="T29" s="762"/>
      <c r="U29" s="356">
        <f t="shared" si="4"/>
        <v/>
      </c>
      <c r="W29" s="434"/>
      <c r="X29" s="435">
        <f t="shared" si="5"/>
        <v/>
      </c>
      <c r="Y29" s="436"/>
      <c r="Z29" s="436"/>
      <c r="AA29" s="431"/>
      <c r="AB29" s="433">
        <f t="shared" si="6"/>
        <v/>
      </c>
      <c r="AC29" s="437">
        <f t="shared" si="2"/>
        <v/>
      </c>
      <c r="AD29" s="437">
        <f t="shared" si="2"/>
        <v/>
      </c>
      <c r="AE29" s="431"/>
      <c r="AF29" s="431"/>
      <c r="AG29" s="431"/>
    </row>
    <row r="30" spans="2:33" ht="15" customHeight="1">
      <c r="B30" s="760" t="s">
        <v>254</v>
      </c>
      <c r="C30" s="761"/>
      <c r="D30" s="761"/>
      <c r="E30" s="761"/>
      <c r="F30" s="761"/>
      <c r="G30" s="761"/>
      <c r="H30" s="761"/>
      <c r="I30" s="762"/>
      <c r="J30" s="762"/>
      <c r="K30" s="316"/>
      <c r="L30" s="762">
        <f t="shared" si="7"/>
        <v/>
      </c>
      <c r="M30" s="762"/>
      <c r="N30" s="318">
        <f t="shared" si="3"/>
        <v/>
      </c>
      <c r="O30" s="316">
        <f>0</f>
        <v/>
      </c>
      <c r="P30" s="773">
        <f t="shared" si="8"/>
        <v/>
      </c>
      <c r="Q30" s="773"/>
      <c r="R30" s="316">
        <f>0</f>
        <v/>
      </c>
      <c r="S30" s="762">
        <f t="shared" si="9"/>
        <v/>
      </c>
      <c r="T30" s="762"/>
      <c r="U30" s="356">
        <f t="shared" si="4"/>
        <v/>
      </c>
      <c r="W30" s="434"/>
      <c r="X30" s="435">
        <f t="shared" si="5"/>
        <v/>
      </c>
      <c r="Y30" s="436"/>
      <c r="Z30" s="436"/>
      <c r="AA30" s="431"/>
      <c r="AB30" s="433">
        <f t="shared" si="6"/>
        <v/>
      </c>
      <c r="AC30" s="437">
        <f t="shared" si="2"/>
        <v/>
      </c>
      <c r="AD30" s="437">
        <f t="shared" si="2"/>
        <v/>
      </c>
      <c r="AE30" s="431"/>
      <c r="AF30" s="431"/>
      <c r="AG30" s="431"/>
    </row>
    <row r="31" spans="2:33" ht="15" customHeight="1">
      <c r="B31" s="760"/>
      <c r="C31" s="761"/>
      <c r="D31" s="761"/>
      <c r="E31" s="761"/>
      <c r="F31" s="761"/>
      <c r="G31" s="761"/>
      <c r="H31" s="761"/>
      <c r="I31" s="762"/>
      <c r="J31" s="762"/>
      <c r="K31" s="316"/>
      <c r="L31" s="762">
        <f t="shared" si="7"/>
        <v/>
      </c>
      <c r="M31" s="762"/>
      <c r="N31" s="318">
        <f t="shared" si="3"/>
        <v/>
      </c>
      <c r="O31" s="316">
        <f>0</f>
        <v/>
      </c>
      <c r="P31" s="773">
        <f t="shared" si="8"/>
        <v/>
      </c>
      <c r="Q31" s="773"/>
      <c r="R31" s="316">
        <f>0</f>
        <v/>
      </c>
      <c r="S31" s="762">
        <f t="shared" si="9"/>
        <v/>
      </c>
      <c r="T31" s="762"/>
      <c r="U31" s="356">
        <f t="shared" si="4"/>
        <v/>
      </c>
      <c r="W31" s="434"/>
      <c r="X31" s="435">
        <f t="shared" si="5"/>
        <v/>
      </c>
      <c r="Y31" s="436"/>
      <c r="Z31" s="436"/>
      <c r="AA31" s="431"/>
      <c r="AB31" s="433">
        <f t="shared" si="6"/>
        <v/>
      </c>
      <c r="AC31" s="437"/>
      <c r="AD31" s="437"/>
      <c r="AE31" s="431"/>
      <c r="AF31" s="431"/>
      <c r="AG31" s="431"/>
    </row>
    <row r="32" spans="2:33" ht="15" customHeight="1">
      <c r="B32" s="760" t="s">
        <v>255</v>
      </c>
      <c r="C32" s="761"/>
      <c r="D32" s="761"/>
      <c r="E32" s="761"/>
      <c r="F32" s="761"/>
      <c r="G32" s="761"/>
      <c r="H32" s="761"/>
      <c r="I32" s="762"/>
      <c r="J32" s="762"/>
      <c r="K32" s="316"/>
      <c r="L32" s="762">
        <f t="shared" si="7"/>
        <v/>
      </c>
      <c r="M32" s="762"/>
      <c r="N32" s="318">
        <f t="shared" si="3"/>
        <v/>
      </c>
      <c r="O32" s="316">
        <f>0</f>
        <v/>
      </c>
      <c r="P32" s="773">
        <f t="shared" si="8"/>
        <v/>
      </c>
      <c r="Q32" s="773"/>
      <c r="R32" s="316">
        <f>0</f>
        <v/>
      </c>
      <c r="S32" s="762">
        <f t="shared" si="9"/>
        <v/>
      </c>
      <c r="T32" s="762"/>
      <c r="U32" s="356">
        <f t="shared" si="4"/>
        <v/>
      </c>
      <c r="W32" s="438" t="s">
        <v>256</v>
      </c>
      <c r="X32" s="439">
        <f t="shared" si="5"/>
        <v/>
      </c>
      <c r="Y32" s="440">
        <f>Y31+Y31*$AC$38</f>
        <v/>
      </c>
      <c r="Z32" s="440">
        <f>Z31+Z31*$AD$38</f>
        <v/>
      </c>
      <c r="AA32" s="431"/>
      <c r="AB32" s="433">
        <f t="shared" si="6"/>
        <v/>
      </c>
      <c r="AC32" s="431"/>
      <c r="AD32" s="431"/>
      <c r="AE32" s="431"/>
      <c r="AF32" s="409"/>
      <c r="AG32" s="431"/>
    </row>
    <row r="33" spans="2:33" ht="15" customHeight="1">
      <c r="B33" s="760" t="s">
        <v>257</v>
      </c>
      <c r="C33" s="761"/>
      <c r="D33" s="761"/>
      <c r="E33" s="761"/>
      <c r="F33" s="761"/>
      <c r="G33" s="761"/>
      <c r="H33" s="761"/>
      <c r="I33" s="762"/>
      <c r="J33" s="762"/>
      <c r="K33" s="316"/>
      <c r="L33" s="762">
        <f t="shared" si="7"/>
        <v/>
      </c>
      <c r="M33" s="762"/>
      <c r="N33" s="318">
        <f t="shared" si="3"/>
        <v/>
      </c>
      <c r="O33" s="316"/>
      <c r="P33" s="773">
        <f t="shared" si="8"/>
        <v/>
      </c>
      <c r="Q33" s="773"/>
      <c r="R33" s="316"/>
      <c r="S33" s="762">
        <f t="shared" si="9"/>
        <v/>
      </c>
      <c r="T33" s="762"/>
      <c r="U33" s="356">
        <f t="shared" si="4"/>
        <v/>
      </c>
      <c r="W33" s="438"/>
      <c r="X33" s="439">
        <f t="shared" si="5"/>
        <v/>
      </c>
      <c r="Y33" s="440">
        <f t="shared" ref="Y33:Y38" si="10">Y32+Y32*$AC$38</f>
        <v/>
      </c>
      <c r="Z33" s="440">
        <f t="shared" ref="Z33:Z38" si="11">Z32+Z32*$AD$38</f>
        <v/>
      </c>
      <c r="AA33" s="431"/>
      <c r="AB33" s="433">
        <f t="shared" si="6"/>
        <v/>
      </c>
      <c r="AC33" s="431"/>
      <c r="AD33" s="431"/>
      <c r="AE33" s="431"/>
      <c r="AF33" s="431"/>
      <c r="AG33" s="431"/>
    </row>
    <row r="34" spans="2:33" ht="15" customHeight="1" thickBot="1">
      <c r="B34" s="681" t="s">
        <v>258</v>
      </c>
      <c r="C34" s="682"/>
      <c r="D34" s="682"/>
      <c r="E34" s="682"/>
      <c r="F34" s="682"/>
      <c r="G34" s="682"/>
      <c r="H34" s="682"/>
      <c r="I34" s="767">
        <f>SUM(I26:J33)</f>
        <v/>
      </c>
      <c r="J34" s="768"/>
      <c r="K34" s="315">
        <f>SUM(K26:K33)</f>
        <v/>
      </c>
      <c r="L34" s="767"/>
      <c r="M34" s="768"/>
      <c r="N34" s="315">
        <f>SUM(N26:N33)</f>
        <v/>
      </c>
      <c r="O34" s="315">
        <f>SUM(O26:O33)</f>
        <v/>
      </c>
      <c r="P34" s="775"/>
      <c r="Q34" s="776"/>
      <c r="R34" s="315">
        <f>R33</f>
        <v/>
      </c>
      <c r="S34" s="775">
        <f>F12</f>
        <v/>
      </c>
      <c r="T34" s="776"/>
      <c r="U34" s="363">
        <f>U33</f>
        <v/>
      </c>
      <c r="W34" s="438"/>
      <c r="X34" s="439">
        <f t="shared" si="5"/>
        <v/>
      </c>
      <c r="Y34" s="440">
        <f t="shared" si="10"/>
        <v/>
      </c>
      <c r="Z34" s="440">
        <f t="shared" si="11"/>
        <v/>
      </c>
      <c r="AA34" s="431"/>
      <c r="AB34" s="433">
        <f t="shared" si="6"/>
        <v/>
      </c>
      <c r="AC34" s="431"/>
      <c r="AD34" s="431"/>
      <c r="AE34" s="431"/>
      <c r="AF34" s="431"/>
      <c r="AG34" s="431"/>
    </row>
    <row r="35" spans="2:33" ht="15" customHeight="1">
      <c r="C35" s="34"/>
      <c r="D35" s="34"/>
      <c r="E35" s="34"/>
      <c r="G35" s="34"/>
      <c r="J35" s="34"/>
      <c r="M35" s="34"/>
      <c r="P35" s="34"/>
      <c r="S35" s="34"/>
      <c r="W35" s="438"/>
      <c r="X35" s="439">
        <f t="shared" si="5"/>
        <v/>
      </c>
      <c r="Y35" s="440">
        <f t="shared" si="10"/>
        <v/>
      </c>
      <c r="Z35" s="440">
        <f t="shared" si="11"/>
        <v/>
      </c>
      <c r="AA35" s="431"/>
      <c r="AB35" s="433">
        <f t="shared" si="6"/>
        <v/>
      </c>
      <c r="AC35" s="431"/>
      <c r="AD35" s="431"/>
      <c r="AE35" s="431"/>
      <c r="AF35" s="431"/>
      <c r="AG35" s="431"/>
    </row>
    <row r="36" spans="2:33" ht="22.5">
      <c r="B36" s="647" t="s">
        <v>259</v>
      </c>
      <c r="C36" s="647"/>
      <c r="D36" s="647"/>
      <c r="E36" s="647"/>
      <c r="F36" s="647"/>
      <c r="G36" s="647"/>
      <c r="H36" s="647"/>
      <c r="I36" s="647"/>
      <c r="J36" s="647"/>
      <c r="K36" s="308"/>
      <c r="L36" s="308"/>
      <c r="M36" s="317"/>
      <c r="N36" s="308"/>
      <c r="O36" s="308"/>
      <c r="P36" s="317"/>
      <c r="Q36" s="308"/>
      <c r="R36" s="308"/>
      <c r="S36" s="317"/>
      <c r="T36" s="308"/>
      <c r="U36" s="308"/>
      <c r="W36" s="438"/>
      <c r="X36" s="439">
        <f t="shared" si="5"/>
        <v/>
      </c>
      <c r="Y36" s="440">
        <f t="shared" si="10"/>
        <v/>
      </c>
      <c r="Z36" s="440">
        <f t="shared" si="11"/>
        <v/>
      </c>
      <c r="AA36" s="431"/>
      <c r="AB36" s="433">
        <f t="shared" si="6"/>
        <v/>
      </c>
      <c r="AC36" s="431"/>
      <c r="AD36" s="431"/>
      <c r="AE36" s="431"/>
      <c r="AF36" s="431"/>
      <c r="AG36" s="431"/>
    </row>
    <row r="37" spans="2:33" ht="15" customHeight="1" thickBot="1">
      <c r="B37" s="308"/>
      <c r="C37" s="308"/>
      <c r="D37" s="308"/>
      <c r="E37" s="308"/>
      <c r="F37" s="308"/>
      <c r="G37" s="308"/>
      <c r="H37" s="308"/>
      <c r="I37" s="308"/>
      <c r="J37" s="317"/>
      <c r="K37" s="308"/>
      <c r="L37" s="308"/>
      <c r="M37" s="317"/>
      <c r="N37" s="308"/>
      <c r="O37" s="308"/>
      <c r="P37" s="317"/>
      <c r="Q37" s="308"/>
      <c r="R37" s="308"/>
      <c r="S37" s="317"/>
      <c r="T37" s="308"/>
      <c r="U37" s="308"/>
      <c r="W37" s="438"/>
      <c r="X37" s="439">
        <f t="shared" si="5"/>
        <v/>
      </c>
      <c r="Y37" s="440">
        <f t="shared" si="10"/>
        <v/>
      </c>
      <c r="Z37" s="440">
        <f t="shared" si="11"/>
        <v/>
      </c>
      <c r="AA37" s="431"/>
      <c r="AB37" s="433">
        <f t="shared" si="6"/>
        <v/>
      </c>
      <c r="AC37" s="431"/>
      <c r="AD37" s="431"/>
      <c r="AE37" s="431"/>
      <c r="AF37" s="431"/>
      <c r="AG37" s="431"/>
    </row>
    <row r="38" spans="2:33" ht="15" customHeight="1">
      <c r="B38" s="764" t="s">
        <v>235</v>
      </c>
      <c r="C38" s="763"/>
      <c r="D38" s="763"/>
      <c r="E38" s="763"/>
      <c r="F38" s="763"/>
      <c r="G38" s="763"/>
      <c r="H38" s="763"/>
      <c r="I38" s="763" t="s">
        <v>236</v>
      </c>
      <c r="J38" s="763"/>
      <c r="K38" s="763" t="s">
        <v>260</v>
      </c>
      <c r="L38" s="763"/>
      <c r="M38" s="763"/>
      <c r="N38" s="763"/>
      <c r="O38" s="763" t="s">
        <v>237</v>
      </c>
      <c r="P38" s="763"/>
      <c r="Q38" s="763"/>
      <c r="R38" s="763" t="s">
        <v>238</v>
      </c>
      <c r="S38" s="763"/>
      <c r="T38" s="763"/>
      <c r="U38" s="774"/>
      <c r="W38" s="438"/>
      <c r="X38" s="439">
        <f t="shared" si="5"/>
        <v/>
      </c>
      <c r="Y38" s="440">
        <f t="shared" si="10"/>
        <v/>
      </c>
      <c r="Z38" s="440">
        <f t="shared" si="11"/>
        <v/>
      </c>
      <c r="AA38" s="431"/>
      <c r="AB38" s="433" t="s">
        <v>261</v>
      </c>
      <c r="AC38" s="437">
        <f>AVERAGE(AC26:AC37)</f>
        <v/>
      </c>
      <c r="AD38" s="437">
        <f>AVERAGE(AD26:AD37)</f>
        <v/>
      </c>
      <c r="AE38" s="431"/>
      <c r="AF38" s="431"/>
      <c r="AG38" s="431"/>
    </row>
    <row r="39" spans="2:33" ht="15" customHeight="1">
      <c r="B39" s="765"/>
      <c r="C39" s="766"/>
      <c r="D39" s="766"/>
      <c r="E39" s="766"/>
      <c r="F39" s="766"/>
      <c r="G39" s="766"/>
      <c r="H39" s="766"/>
      <c r="I39" s="766"/>
      <c r="J39" s="766"/>
      <c r="K39" s="357" t="s">
        <v>240</v>
      </c>
      <c r="L39" s="766" t="s">
        <v>241</v>
      </c>
      <c r="M39" s="766"/>
      <c r="N39" s="357" t="s">
        <v>242</v>
      </c>
      <c r="O39" s="357" t="s">
        <v>240</v>
      </c>
      <c r="P39" s="772" t="s">
        <v>244</v>
      </c>
      <c r="Q39" s="772"/>
      <c r="R39" s="357" t="s">
        <v>240</v>
      </c>
      <c r="S39" s="766" t="s">
        <v>241</v>
      </c>
      <c r="T39" s="766"/>
      <c r="U39" s="364" t="s">
        <v>242</v>
      </c>
    </row>
    <row r="40" spans="2:33" ht="15" customHeight="1">
      <c r="B40" s="760" t="s">
        <v>250</v>
      </c>
      <c r="C40" s="761"/>
      <c r="D40" s="761"/>
      <c r="E40" s="761"/>
      <c r="F40" s="761"/>
      <c r="G40" s="761"/>
      <c r="H40" s="761"/>
      <c r="I40" s="762"/>
      <c r="J40" s="762"/>
      <c r="K40" s="316"/>
      <c r="L40" s="777">
        <f>Y35</f>
        <v/>
      </c>
      <c r="M40" s="778"/>
      <c r="N40" s="318">
        <f>K40*L40/1000</f>
        <v/>
      </c>
      <c r="O40" s="316">
        <f>0</f>
        <v/>
      </c>
      <c r="P40" s="773">
        <f>Y35</f>
        <v/>
      </c>
      <c r="Q40" s="773"/>
      <c r="R40" s="316">
        <f>0</f>
        <v/>
      </c>
      <c r="S40" s="762">
        <f>Z35</f>
        <v/>
      </c>
      <c r="T40" s="762"/>
      <c r="U40" s="356">
        <f>R40*S40/1000</f>
        <v/>
      </c>
    </row>
    <row r="41" spans="2:33" ht="15" customHeight="1">
      <c r="B41" s="760" t="s">
        <v>252</v>
      </c>
      <c r="C41" s="761"/>
      <c r="D41" s="761"/>
      <c r="E41" s="761"/>
      <c r="F41" s="761"/>
      <c r="G41" s="761"/>
      <c r="H41" s="761"/>
      <c r="I41" s="762"/>
      <c r="J41" s="762"/>
      <c r="K41" s="316"/>
      <c r="L41" s="777">
        <f>L40</f>
        <v/>
      </c>
      <c r="M41" s="778"/>
      <c r="N41" s="318">
        <f t="shared" ref="N41:N47" si="12">K41*L41/1000</f>
        <v/>
      </c>
      <c r="O41" s="316">
        <f>0</f>
        <v/>
      </c>
      <c r="P41" s="773">
        <f>P40</f>
        <v/>
      </c>
      <c r="Q41" s="773"/>
      <c r="R41" s="316">
        <f>0</f>
        <v/>
      </c>
      <c r="S41" s="762">
        <f>S40</f>
        <v/>
      </c>
      <c r="T41" s="762"/>
      <c r="U41" s="356">
        <f t="shared" ref="U41:U47" si="13">R41*S41/1000</f>
        <v/>
      </c>
    </row>
    <row r="42" spans="2:33" ht="15" customHeight="1">
      <c r="B42" s="760" t="s">
        <v>253</v>
      </c>
      <c r="C42" s="761"/>
      <c r="D42" s="761"/>
      <c r="E42" s="761"/>
      <c r="F42" s="761"/>
      <c r="G42" s="761"/>
      <c r="H42" s="761"/>
      <c r="I42" s="762"/>
      <c r="J42" s="762"/>
      <c r="K42" s="316"/>
      <c r="L42" s="777">
        <f t="shared" ref="L42:L47" si="14">L41</f>
        <v/>
      </c>
      <c r="M42" s="778"/>
      <c r="N42" s="318">
        <f t="shared" si="12"/>
        <v/>
      </c>
      <c r="O42" s="316">
        <f>0</f>
        <v/>
      </c>
      <c r="P42" s="773">
        <f t="shared" ref="P42:P47" si="15">P41</f>
        <v/>
      </c>
      <c r="Q42" s="773"/>
      <c r="R42" s="316">
        <f>0</f>
        <v/>
      </c>
      <c r="S42" s="762">
        <f t="shared" ref="S42:S47" si="16">S41</f>
        <v/>
      </c>
      <c r="T42" s="762"/>
      <c r="U42" s="356">
        <f t="shared" si="13"/>
        <v/>
      </c>
    </row>
    <row r="43" spans="2:33" ht="15" customHeight="1">
      <c r="B43" s="760"/>
      <c r="C43" s="761"/>
      <c r="D43" s="761"/>
      <c r="E43" s="761"/>
      <c r="F43" s="761"/>
      <c r="G43" s="761"/>
      <c r="H43" s="761"/>
      <c r="I43" s="762"/>
      <c r="J43" s="762"/>
      <c r="K43" s="316"/>
      <c r="L43" s="777">
        <f t="shared" si="14"/>
        <v/>
      </c>
      <c r="M43" s="778"/>
      <c r="N43" s="318">
        <f t="shared" si="12"/>
        <v/>
      </c>
      <c r="O43" s="316">
        <f>0</f>
        <v/>
      </c>
      <c r="P43" s="773">
        <f t="shared" si="15"/>
        <v/>
      </c>
      <c r="Q43" s="773"/>
      <c r="R43" s="316">
        <f>0</f>
        <v/>
      </c>
      <c r="S43" s="762">
        <f t="shared" si="16"/>
        <v/>
      </c>
      <c r="T43" s="762"/>
      <c r="U43" s="356">
        <f t="shared" si="13"/>
        <v/>
      </c>
    </row>
    <row r="44" spans="2:33" ht="15" customHeight="1">
      <c r="B44" s="760" t="s">
        <v>254</v>
      </c>
      <c r="C44" s="761"/>
      <c r="D44" s="761"/>
      <c r="E44" s="761"/>
      <c r="F44" s="761"/>
      <c r="G44" s="761"/>
      <c r="H44" s="761"/>
      <c r="I44" s="762"/>
      <c r="J44" s="762"/>
      <c r="K44" s="316"/>
      <c r="L44" s="777">
        <f t="shared" si="14"/>
        <v/>
      </c>
      <c r="M44" s="778"/>
      <c r="N44" s="318">
        <f t="shared" si="12"/>
        <v/>
      </c>
      <c r="O44" s="316">
        <f>0</f>
        <v/>
      </c>
      <c r="P44" s="773">
        <f t="shared" si="15"/>
        <v/>
      </c>
      <c r="Q44" s="773"/>
      <c r="R44" s="316">
        <f>0</f>
        <v/>
      </c>
      <c r="S44" s="762">
        <f t="shared" si="16"/>
        <v/>
      </c>
      <c r="T44" s="762"/>
      <c r="U44" s="356">
        <f t="shared" si="13"/>
        <v/>
      </c>
    </row>
    <row r="45" spans="2:33" ht="15" customHeight="1">
      <c r="B45" s="760"/>
      <c r="C45" s="761"/>
      <c r="D45" s="761"/>
      <c r="E45" s="761"/>
      <c r="F45" s="761"/>
      <c r="G45" s="761"/>
      <c r="H45" s="761"/>
      <c r="I45" s="762"/>
      <c r="J45" s="762"/>
      <c r="K45" s="316"/>
      <c r="L45" s="777">
        <f t="shared" si="14"/>
        <v/>
      </c>
      <c r="M45" s="778"/>
      <c r="N45" s="318">
        <f t="shared" si="12"/>
        <v/>
      </c>
      <c r="O45" s="316">
        <f>0</f>
        <v/>
      </c>
      <c r="P45" s="773">
        <f t="shared" si="15"/>
        <v/>
      </c>
      <c r="Q45" s="773"/>
      <c r="R45" s="316">
        <f>0</f>
        <v/>
      </c>
      <c r="S45" s="762">
        <f t="shared" si="16"/>
        <v/>
      </c>
      <c r="T45" s="762"/>
      <c r="U45" s="356">
        <f t="shared" si="13"/>
        <v/>
      </c>
    </row>
    <row r="46" spans="2:33" ht="15" customHeight="1">
      <c r="B46" s="760" t="s">
        <v>255</v>
      </c>
      <c r="C46" s="761"/>
      <c r="D46" s="761"/>
      <c r="E46" s="761"/>
      <c r="F46" s="761"/>
      <c r="G46" s="761"/>
      <c r="H46" s="761"/>
      <c r="I46" s="762"/>
      <c r="J46" s="762"/>
      <c r="K46" s="316"/>
      <c r="L46" s="777">
        <f t="shared" si="14"/>
        <v/>
      </c>
      <c r="M46" s="778"/>
      <c r="N46" s="318">
        <f t="shared" si="12"/>
        <v/>
      </c>
      <c r="O46" s="316">
        <f>0</f>
        <v/>
      </c>
      <c r="P46" s="773">
        <f t="shared" si="15"/>
        <v/>
      </c>
      <c r="Q46" s="773"/>
      <c r="R46" s="316">
        <f>0</f>
        <v/>
      </c>
      <c r="S46" s="762">
        <f t="shared" si="16"/>
        <v/>
      </c>
      <c r="T46" s="762"/>
      <c r="U46" s="356">
        <f t="shared" si="13"/>
        <v/>
      </c>
    </row>
    <row r="47" spans="2:33" ht="15" customHeight="1">
      <c r="B47" s="760" t="s">
        <v>257</v>
      </c>
      <c r="C47" s="761"/>
      <c r="D47" s="761"/>
      <c r="E47" s="761"/>
      <c r="F47" s="761"/>
      <c r="G47" s="761"/>
      <c r="H47" s="761"/>
      <c r="I47" s="762"/>
      <c r="J47" s="762"/>
      <c r="K47" s="316"/>
      <c r="L47" s="777">
        <f t="shared" si="14"/>
        <v/>
      </c>
      <c r="M47" s="778"/>
      <c r="N47" s="318">
        <f t="shared" si="12"/>
        <v/>
      </c>
      <c r="O47" s="316"/>
      <c r="P47" s="773">
        <f t="shared" si="15"/>
        <v/>
      </c>
      <c r="Q47" s="773"/>
      <c r="R47" s="316"/>
      <c r="S47" s="762">
        <f t="shared" si="16"/>
        <v/>
      </c>
      <c r="T47" s="762"/>
      <c r="U47" s="356">
        <f t="shared" si="13"/>
        <v/>
      </c>
    </row>
    <row r="48" spans="2:33" ht="15" customHeight="1" thickBot="1">
      <c r="B48" s="681" t="s">
        <v>204</v>
      </c>
      <c r="C48" s="682"/>
      <c r="D48" s="682"/>
      <c r="E48" s="682"/>
      <c r="F48" s="682"/>
      <c r="G48" s="682"/>
      <c r="H48" s="682"/>
      <c r="I48" s="767">
        <f>SUM(I40:J47)</f>
        <v/>
      </c>
      <c r="J48" s="768"/>
      <c r="K48" s="315">
        <f>SUM(K40:K47)</f>
        <v/>
      </c>
      <c r="L48" s="779"/>
      <c r="M48" s="780"/>
      <c r="N48" s="315">
        <f>SUM(N40:N47)</f>
        <v/>
      </c>
      <c r="O48" s="315">
        <f>SUM(O40:O47)</f>
        <v/>
      </c>
      <c r="P48" s="775">
        <f>P47</f>
        <v/>
      </c>
      <c r="Q48" s="776"/>
      <c r="R48" s="315">
        <f>R47</f>
        <v/>
      </c>
      <c r="S48" s="767">
        <f>I12</f>
        <v/>
      </c>
      <c r="T48" s="767"/>
      <c r="U48" s="363">
        <f>U47</f>
        <v/>
      </c>
    </row>
  </sheetData>
  <mergeCells count="137">
    <mergeCell ref="B47:H47"/>
    <mergeCell ref="I47:J47"/>
    <mergeCell ref="L47:M47"/>
    <mergeCell ref="P47:Q47"/>
    <mergeCell ref="S47:T47"/>
    <mergeCell ref="B48:H48"/>
    <mergeCell ref="I48:J48"/>
    <mergeCell ref="L48:M48"/>
    <mergeCell ref="P48:Q48"/>
    <mergeCell ref="S48:T48"/>
    <mergeCell ref="B46:H46"/>
    <mergeCell ref="I46:J46"/>
    <mergeCell ref="L46:M46"/>
    <mergeCell ref="P46:Q46"/>
    <mergeCell ref="S46:T46"/>
    <mergeCell ref="B36:J36"/>
    <mergeCell ref="B38:H39"/>
    <mergeCell ref="I38:J39"/>
    <mergeCell ref="K38:N38"/>
    <mergeCell ref="O38:Q38"/>
    <mergeCell ref="R38:U38"/>
    <mergeCell ref="B44:H44"/>
    <mergeCell ref="I44:J44"/>
    <mergeCell ref="L44:M44"/>
    <mergeCell ref="P44:Q44"/>
    <mergeCell ref="S44:T44"/>
    <mergeCell ref="B45:H45"/>
    <mergeCell ref="I45:J45"/>
    <mergeCell ref="L45:M45"/>
    <mergeCell ref="P45:Q45"/>
    <mergeCell ref="S45:T45"/>
    <mergeCell ref="B42:H42"/>
    <mergeCell ref="I42:J42"/>
    <mergeCell ref="L42:M42"/>
    <mergeCell ref="P42:Q42"/>
    <mergeCell ref="S42:T42"/>
    <mergeCell ref="B43:H43"/>
    <mergeCell ref="I43:J43"/>
    <mergeCell ref="L43:M43"/>
    <mergeCell ref="P43:Q43"/>
    <mergeCell ref="S43:T43"/>
    <mergeCell ref="O24:Q24"/>
    <mergeCell ref="B40:H40"/>
    <mergeCell ref="I40:J40"/>
    <mergeCell ref="L40:M40"/>
    <mergeCell ref="P40:Q40"/>
    <mergeCell ref="S40:T40"/>
    <mergeCell ref="B41:H41"/>
    <mergeCell ref="I41:J41"/>
    <mergeCell ref="L41:M41"/>
    <mergeCell ref="P41:Q41"/>
    <mergeCell ref="S41:T41"/>
    <mergeCell ref="S33:T33"/>
    <mergeCell ref="S32:T32"/>
    <mergeCell ref="S31:T31"/>
    <mergeCell ref="S30:T30"/>
    <mergeCell ref="S29:T29"/>
    <mergeCell ref="P33:Q33"/>
    <mergeCell ref="P32:Q32"/>
    <mergeCell ref="P31:Q31"/>
    <mergeCell ref="P30:Q30"/>
    <mergeCell ref="P29:Q29"/>
    <mergeCell ref="L34:M34"/>
    <mergeCell ref="P34:Q34"/>
    <mergeCell ref="S34:T34"/>
    <mergeCell ref="L39:M39"/>
    <mergeCell ref="P39:Q39"/>
    <mergeCell ref="S39:T39"/>
    <mergeCell ref="L33:M33"/>
    <mergeCell ref="L32:M32"/>
    <mergeCell ref="L31:M31"/>
    <mergeCell ref="L30:M30"/>
    <mergeCell ref="L29:M29"/>
    <mergeCell ref="B20:U20"/>
    <mergeCell ref="B22:J22"/>
    <mergeCell ref="S28:T28"/>
    <mergeCell ref="S27:T27"/>
    <mergeCell ref="B26:H26"/>
    <mergeCell ref="B27:H27"/>
    <mergeCell ref="I27:J27"/>
    <mergeCell ref="I26:J26"/>
    <mergeCell ref="B17:U17"/>
    <mergeCell ref="B18:U18"/>
    <mergeCell ref="B19:U19"/>
    <mergeCell ref="P25:Q25"/>
    <mergeCell ref="P28:Q28"/>
    <mergeCell ref="P27:Q27"/>
    <mergeCell ref="P26:Q26"/>
    <mergeCell ref="B21:U21"/>
    <mergeCell ref="L27:M27"/>
    <mergeCell ref="L26:M26"/>
    <mergeCell ref="L25:M25"/>
    <mergeCell ref="R24:U24"/>
    <mergeCell ref="S25:T25"/>
    <mergeCell ref="S26:T26"/>
    <mergeCell ref="B32:H32"/>
    <mergeCell ref="I32:J32"/>
    <mergeCell ref="K24:N24"/>
    <mergeCell ref="B24:H25"/>
    <mergeCell ref="I24:J25"/>
    <mergeCell ref="L28:M28"/>
    <mergeCell ref="B34:H34"/>
    <mergeCell ref="B33:H33"/>
    <mergeCell ref="B31:H31"/>
    <mergeCell ref="B30:H30"/>
    <mergeCell ref="B29:H29"/>
    <mergeCell ref="B28:H28"/>
    <mergeCell ref="I33:J33"/>
    <mergeCell ref="I31:J31"/>
    <mergeCell ref="I30:J30"/>
    <mergeCell ref="I29:J29"/>
    <mergeCell ref="I28:J28"/>
    <mergeCell ref="I34:J34"/>
    <mergeCell ref="X24:Y24"/>
    <mergeCell ref="C9:E9"/>
    <mergeCell ref="C10:E10"/>
    <mergeCell ref="T5:U5"/>
    <mergeCell ref="B6:E7"/>
    <mergeCell ref="B2:N2"/>
    <mergeCell ref="B11:B16"/>
    <mergeCell ref="F6:H6"/>
    <mergeCell ref="I6:K6"/>
    <mergeCell ref="O6:Q6"/>
    <mergeCell ref="U8:U16"/>
    <mergeCell ref="R6:T6"/>
    <mergeCell ref="C11:C12"/>
    <mergeCell ref="D11:D12"/>
    <mergeCell ref="D14:E14"/>
    <mergeCell ref="D15:E15"/>
    <mergeCell ref="D16:E16"/>
    <mergeCell ref="C13:E13"/>
    <mergeCell ref="L6:N6"/>
    <mergeCell ref="C14:C16"/>
    <mergeCell ref="U6:U7"/>
    <mergeCell ref="B8:B10"/>
    <mergeCell ref="B4:I4"/>
    <mergeCell ref="C8:E8"/>
  </mergeCells>
  <phoneticPr fontId="2" type="noConversion"/>
  <pageMargins left="0.25" right="0.25" top="0.75" bottom="0.75" header="0.3" footer="0.3"/>
  <pageSetup paperSize="9" scale="9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B1:H111"/>
  <sheetViews>
    <sheetView showGridLines="0" topLeftCell="B1" zoomScale="115" zoomScaleNormal="115" zoomScaleSheetLayoutView="100" workbookViewId="0">
      <selection activeCell="D8" sqref="D8"/>
    </sheetView>
  </sheetViews>
  <sheetFormatPr defaultColWidth="8.88671875" defaultRowHeight="13.5"/>
  <cols>
    <col min="1" max="1" width="5.5546875" style="34" customWidth="1"/>
    <col min="2" max="2" width="15.5546875" style="34" customWidth="1"/>
    <col min="3" max="3" width="15.5546875" style="13" customWidth="1"/>
    <col min="4" max="4" width="60.5546875" style="13" customWidth="1"/>
    <col min="5" max="5" width="10.5546875" style="13" customWidth="1"/>
    <col min="6" max="16384" width="8.88671875" style="34"/>
  </cols>
  <sheetData>
    <row r="1" spans="2:5" ht="15" customHeight="1"/>
    <row r="2" spans="2:5" ht="24.95" customHeight="1">
      <c r="B2" s="446" t="s">
        <v>262</v>
      </c>
      <c r="C2" s="446"/>
      <c r="D2" s="446"/>
    </row>
    <row r="3" spans="2:5" ht="15" customHeight="1" thickBot="1">
      <c r="B3" s="170"/>
      <c r="C3" s="171"/>
    </row>
    <row r="4" spans="2:5" ht="15" customHeight="1">
      <c r="B4" s="781" t="s">
        <v>263</v>
      </c>
      <c r="C4" s="782"/>
      <c r="D4" s="220" t="s">
        <v>264</v>
      </c>
      <c r="E4" s="221" t="s">
        <v>265</v>
      </c>
    </row>
    <row r="5" spans="2:5" ht="15" customHeight="1">
      <c r="B5" s="786" t="s">
        <v>266</v>
      </c>
      <c r="C5" s="787"/>
      <c r="D5" s="165"/>
      <c r="E5" s="222"/>
    </row>
    <row r="6" spans="2:5" ht="15" customHeight="1">
      <c r="B6" s="786" t="s">
        <v>267</v>
      </c>
      <c r="C6" s="787"/>
      <c r="D6" s="355"/>
      <c r="E6" s="223"/>
    </row>
    <row r="7" spans="2:5" ht="15" customHeight="1">
      <c r="B7" s="783" t="s">
        <v>268</v>
      </c>
      <c r="C7" s="784"/>
      <c r="D7" s="166"/>
      <c r="E7" s="223"/>
    </row>
    <row r="8" spans="2:5" ht="15" customHeight="1">
      <c r="B8" s="783" t="s">
        <v>269</v>
      </c>
      <c r="C8" s="784"/>
      <c r="D8" s="166"/>
      <c r="E8" s="223"/>
    </row>
    <row r="9" spans="2:5" ht="15" customHeight="1">
      <c r="B9" s="783" t="s">
        <v>270</v>
      </c>
      <c r="C9" s="784"/>
      <c r="D9" s="336"/>
      <c r="E9" s="337"/>
    </row>
    <row r="10" spans="2:5" ht="15" customHeight="1" thickBot="1">
      <c r="B10" s="788" t="s">
        <v>271</v>
      </c>
      <c r="C10" s="789"/>
      <c r="D10" s="167"/>
      <c r="E10" s="224"/>
    </row>
    <row r="11" spans="2:5" ht="15" customHeight="1">
      <c r="B11" s="172"/>
      <c r="C11" s="172"/>
      <c r="D11" s="173"/>
      <c r="E11" s="174"/>
    </row>
    <row r="12" spans="2:5" ht="20.100000000000001" customHeight="1">
      <c r="B12" s="90" t="s">
        <v>193</v>
      </c>
    </row>
    <row r="13" spans="2:5" ht="15" customHeight="1" thickBot="1">
      <c r="D13" s="55"/>
      <c r="E13" s="47" t="s">
        <v>272</v>
      </c>
    </row>
    <row r="14" spans="2:5" ht="14.1" customHeight="1">
      <c r="B14" s="185" t="s">
        <v>273</v>
      </c>
      <c r="C14" s="21" t="s">
        <v>274</v>
      </c>
      <c r="D14" s="21" t="s">
        <v>275</v>
      </c>
      <c r="E14" s="22" t="s">
        <v>276</v>
      </c>
    </row>
    <row r="15" spans="2:5" ht="14.45" customHeight="1">
      <c r="B15" s="15" t="s">
        <v>277</v>
      </c>
      <c r="C15" s="81">
        <f>SUM(C16:C17)</f>
        <v/>
      </c>
      <c r="D15" s="91"/>
      <c r="E15" s="191"/>
    </row>
    <row r="16" spans="2:5" ht="14.45" customHeight="1">
      <c r="B16" s="16" t="s">
        <v>278</v>
      </c>
      <c r="C16" s="49">
        <f>'10. 감가상각비계획 '!G8*'9 .경비계획'!D6</f>
        <v/>
      </c>
      <c r="D16" s="34"/>
      <c r="E16" s="192"/>
    </row>
    <row r="17" spans="2:8" ht="14.45" customHeight="1">
      <c r="B17" s="17" t="s">
        <v>279</v>
      </c>
      <c r="C17" s="82">
        <f>'10. 감가상각비계획 '!I8*'9 .경비계획'!D5</f>
        <v/>
      </c>
      <c r="D17" s="18"/>
      <c r="E17" s="19"/>
    </row>
    <row r="18" spans="2:8" ht="14.45" customHeight="1">
      <c r="B18" s="16" t="s">
        <v>280</v>
      </c>
      <c r="C18" s="126">
        <f>D7*6611/1000*1.025*1.025*1.025</f>
        <v/>
      </c>
      <c r="D18" s="117"/>
      <c r="E18" s="192"/>
    </row>
    <row r="19" spans="2:8" ht="14.45" customHeight="1">
      <c r="B19" s="80"/>
      <c r="C19" s="49"/>
      <c r="D19" s="18"/>
      <c r="E19" s="192"/>
    </row>
    <row r="20" spans="2:8" ht="14.45" customHeight="1">
      <c r="B20" s="15" t="s">
        <v>281</v>
      </c>
      <c r="C20" s="81">
        <f>SUM(C21:C22:C23)</f>
        <v/>
      </c>
      <c r="D20" s="117" t="s">
        <v>282</v>
      </c>
      <c r="E20" s="10"/>
    </row>
    <row r="21" spans="2:8" ht="14.45" customHeight="1">
      <c r="B21" s="16" t="s">
        <v>283</v>
      </c>
      <c r="C21" s="126">
        <f>'10. 감가상각비계획 '!G12</f>
        <v/>
      </c>
      <c r="D21" s="9"/>
      <c r="E21" s="11"/>
    </row>
    <row r="22" spans="2:8" ht="14.45" customHeight="1">
      <c r="B22" s="16" t="s">
        <v>284</v>
      </c>
      <c r="C22" s="126">
        <f>'10. 감가상각비계획 '!I12</f>
        <v/>
      </c>
      <c r="D22" s="9"/>
      <c r="E22" s="11"/>
    </row>
    <row r="23" spans="2:8" ht="14.45" customHeight="1">
      <c r="B23" s="16" t="s">
        <v>285</v>
      </c>
      <c r="C23" s="82">
        <f>'10. 감가상각비계획 '!K12</f>
        <v/>
      </c>
      <c r="D23" s="20"/>
      <c r="E23" s="19"/>
    </row>
    <row r="24" spans="2:8" ht="14.45" customHeight="1">
      <c r="B24" s="15" t="s">
        <v>286</v>
      </c>
      <c r="C24" s="126">
        <f>SUM(C25:C26)</f>
        <v/>
      </c>
      <c r="D24" s="117"/>
      <c r="E24" s="192"/>
    </row>
    <row r="25" spans="2:8" ht="14.45" customHeight="1">
      <c r="B25" s="16" t="s">
        <v>287</v>
      </c>
      <c r="C25" s="118"/>
      <c r="D25" s="117" t="s">
        <v>288</v>
      </c>
      <c r="E25" s="11"/>
    </row>
    <row r="26" spans="2:8" ht="14.45" customHeight="1">
      <c r="B26" s="16" t="s">
        <v>289</v>
      </c>
      <c r="C26" s="118">
        <f>1470/3.3*0+1260/3.3*0</f>
        <v/>
      </c>
      <c r="D26" s="9"/>
      <c r="E26" s="11"/>
    </row>
    <row r="27" spans="2:8" ht="14.45" customHeight="1">
      <c r="B27" s="43" t="s">
        <v>290</v>
      </c>
      <c r="C27" s="50">
        <f>0</f>
        <v/>
      </c>
      <c r="D27" s="26"/>
      <c r="E27" s="44"/>
      <c r="H27" s="154"/>
    </row>
    <row r="28" spans="2:8" ht="14.45" customHeight="1">
      <c r="B28" s="43" t="s">
        <v>291</v>
      </c>
      <c r="C28" s="50">
        <f>0</f>
        <v/>
      </c>
      <c r="D28" s="117"/>
      <c r="E28" s="44"/>
    </row>
    <row r="29" spans="2:8" ht="14.45" customHeight="1">
      <c r="B29" s="43" t="s">
        <v>292</v>
      </c>
      <c r="C29" s="79">
        <f>0</f>
        <v/>
      </c>
      <c r="D29" s="26"/>
      <c r="E29" s="42"/>
    </row>
    <row r="30" spans="2:8" ht="14.45" customHeight="1" thickBot="1">
      <c r="B30" s="93" t="s">
        <v>293</v>
      </c>
      <c r="C30" s="39">
        <f>C15+C18+C20+C24+C27+C28+C29</f>
        <v/>
      </c>
      <c r="D30" s="40"/>
      <c r="E30" s="41"/>
    </row>
    <row r="31" spans="2:8" ht="15" customHeight="1">
      <c r="B31" s="45"/>
      <c r="C31" s="159"/>
      <c r="D31" s="159"/>
      <c r="E31" s="159"/>
    </row>
    <row r="32" spans="2:8" ht="20.100000000000001" customHeight="1">
      <c r="B32" s="90" t="s">
        <v>205</v>
      </c>
    </row>
    <row r="33" spans="2:5" ht="15" customHeight="1" thickBot="1">
      <c r="B33" s="90"/>
    </row>
    <row r="34" spans="2:5" ht="14.1" customHeight="1">
      <c r="B34" s="185" t="s">
        <v>273</v>
      </c>
      <c r="C34" s="21" t="s">
        <v>274</v>
      </c>
      <c r="D34" s="21" t="s">
        <v>275</v>
      </c>
      <c r="E34" s="22" t="s">
        <v>24</v>
      </c>
    </row>
    <row r="35" spans="2:5" ht="14.45" customHeight="1">
      <c r="B35" s="15" t="s">
        <v>277</v>
      </c>
      <c r="C35" s="81">
        <f>SUM(C36:C37)</f>
        <v/>
      </c>
      <c r="D35" s="91"/>
      <c r="E35" s="191"/>
    </row>
    <row r="36" spans="2:5" ht="14.45" customHeight="1">
      <c r="B36" s="16" t="s">
        <v>278</v>
      </c>
      <c r="C36" s="49">
        <f>C16</f>
        <v/>
      </c>
      <c r="D36" s="34"/>
      <c r="E36" s="192"/>
    </row>
    <row r="37" spans="2:5" ht="14.45" customHeight="1">
      <c r="B37" s="17" t="s">
        <v>284</v>
      </c>
      <c r="C37" s="82">
        <f>C17</f>
        <v/>
      </c>
      <c r="D37" s="18"/>
      <c r="E37" s="19"/>
    </row>
    <row r="38" spans="2:5" ht="14.45" customHeight="1">
      <c r="B38" s="16" t="s">
        <v>280</v>
      </c>
      <c r="C38" s="126">
        <f>C18*1.025</f>
        <v/>
      </c>
      <c r="D38" s="117"/>
      <c r="E38" s="192"/>
    </row>
    <row r="39" spans="2:5" ht="14.45" customHeight="1">
      <c r="B39" s="80"/>
      <c r="C39" s="49"/>
      <c r="D39" s="18"/>
      <c r="E39" s="192"/>
    </row>
    <row r="40" spans="2:5" ht="14.45" customHeight="1">
      <c r="B40" s="15" t="s">
        <v>281</v>
      </c>
      <c r="C40" s="81">
        <f>SUM(C41:C42:C43)</f>
        <v/>
      </c>
      <c r="D40" s="117" t="s">
        <v>282</v>
      </c>
      <c r="E40" s="10"/>
    </row>
    <row r="41" spans="2:5" ht="14.45" customHeight="1">
      <c r="B41" s="16" t="s">
        <v>283</v>
      </c>
      <c r="C41" s="126">
        <f>'10. 감가상각비계획 '!G24</f>
        <v/>
      </c>
      <c r="D41" s="9"/>
      <c r="E41" s="11"/>
    </row>
    <row r="42" spans="2:5" ht="14.45" customHeight="1">
      <c r="B42" s="16" t="s">
        <v>284</v>
      </c>
      <c r="C42" s="126">
        <f>'10. 감가상각비계획 '!I24</f>
        <v/>
      </c>
      <c r="D42" s="9"/>
      <c r="E42" s="11"/>
    </row>
    <row r="43" spans="2:5" ht="14.45" customHeight="1">
      <c r="B43" s="16" t="s">
        <v>294</v>
      </c>
      <c r="C43" s="82">
        <f>'10. 감가상각비계획 '!K24</f>
        <v/>
      </c>
      <c r="D43" s="20"/>
      <c r="E43" s="19"/>
    </row>
    <row r="44" spans="2:5" ht="14.45" customHeight="1">
      <c r="B44" s="15" t="s">
        <v>286</v>
      </c>
      <c r="C44" s="126">
        <f>SUM(C45:C46)</f>
        <v/>
      </c>
      <c r="D44" s="117"/>
      <c r="E44" s="192"/>
    </row>
    <row r="45" spans="2:5" ht="14.45" customHeight="1">
      <c r="B45" s="16" t="s">
        <v>287</v>
      </c>
      <c r="C45" s="118"/>
      <c r="D45" s="117" t="s">
        <v>288</v>
      </c>
      <c r="E45" s="11"/>
    </row>
    <row r="46" spans="2:5" ht="14.45" customHeight="1">
      <c r="B46" s="16" t="s">
        <v>289</v>
      </c>
      <c r="C46" s="118"/>
      <c r="D46" s="9"/>
      <c r="E46" s="11"/>
    </row>
    <row r="47" spans="2:5" ht="14.45" customHeight="1">
      <c r="B47" s="43" t="s">
        <v>290</v>
      </c>
      <c r="C47" s="50">
        <f>0</f>
        <v/>
      </c>
      <c r="D47" s="26"/>
      <c r="E47" s="44"/>
    </row>
    <row r="48" spans="2:5" ht="14.45" customHeight="1">
      <c r="B48" s="43" t="s">
        <v>291</v>
      </c>
      <c r="C48" s="118">
        <f>0</f>
        <v/>
      </c>
      <c r="D48" s="117"/>
      <c r="E48" s="44"/>
    </row>
    <row r="49" spans="2:5" ht="14.45" customHeight="1">
      <c r="B49" s="43" t="s">
        <v>292</v>
      </c>
      <c r="C49" s="79"/>
      <c r="D49" s="26"/>
      <c r="E49" s="42"/>
    </row>
    <row r="50" spans="2:5" ht="14.45" customHeight="1" thickBot="1">
      <c r="B50" s="93" t="s">
        <v>87</v>
      </c>
      <c r="C50" s="39">
        <f>C35+C38+C40+C44+C47+C48+C49</f>
        <v/>
      </c>
      <c r="D50" s="40"/>
      <c r="E50" s="41"/>
    </row>
    <row r="51" spans="2:5" ht="15" customHeight="1"/>
    <row r="52" spans="2:5" ht="20.100000000000001" customHeight="1">
      <c r="B52" s="90" t="s">
        <v>208</v>
      </c>
    </row>
    <row r="53" spans="2:5" ht="15" customHeight="1" thickBot="1">
      <c r="D53" s="55"/>
      <c r="E53" s="47" t="s">
        <v>295</v>
      </c>
    </row>
    <row r="54" spans="2:5" ht="14.1" customHeight="1">
      <c r="B54" s="185" t="s">
        <v>273</v>
      </c>
      <c r="C54" s="21" t="s">
        <v>274</v>
      </c>
      <c r="D54" s="21" t="s">
        <v>275</v>
      </c>
      <c r="E54" s="22" t="s">
        <v>24</v>
      </c>
    </row>
    <row r="55" spans="2:5" ht="14.45" customHeight="1">
      <c r="B55" s="15" t="s">
        <v>277</v>
      </c>
      <c r="C55" s="81">
        <f>SUM(C56:C57)</f>
        <v/>
      </c>
      <c r="D55" s="91"/>
      <c r="E55" s="191"/>
    </row>
    <row r="56" spans="2:5" ht="14.45" customHeight="1">
      <c r="B56" s="16" t="s">
        <v>278</v>
      </c>
      <c r="C56" s="49">
        <f>C36</f>
        <v/>
      </c>
      <c r="D56" s="34"/>
      <c r="E56" s="192"/>
    </row>
    <row r="57" spans="2:5" ht="14.45" customHeight="1">
      <c r="B57" s="17" t="s">
        <v>284</v>
      </c>
      <c r="C57" s="82">
        <f>C37</f>
        <v/>
      </c>
      <c r="D57" s="18"/>
      <c r="E57" s="19"/>
    </row>
    <row r="58" spans="2:5" ht="14.45" customHeight="1">
      <c r="B58" s="16" t="s">
        <v>280</v>
      </c>
      <c r="C58" s="126">
        <f>C38*1.025</f>
        <v/>
      </c>
      <c r="D58" s="117"/>
      <c r="E58" s="192"/>
    </row>
    <row r="59" spans="2:5" ht="14.45" customHeight="1">
      <c r="B59" s="80"/>
      <c r="C59" s="49"/>
      <c r="D59" s="18"/>
      <c r="E59" s="192"/>
    </row>
    <row r="60" spans="2:5" ht="14.45" customHeight="1">
      <c r="B60" s="15" t="s">
        <v>281</v>
      </c>
      <c r="C60" s="81">
        <f>SUM(C61:C62:C63)</f>
        <v/>
      </c>
      <c r="D60" s="117" t="s">
        <v>282</v>
      </c>
      <c r="E60" s="10"/>
    </row>
    <row r="61" spans="2:5" ht="14.45" customHeight="1">
      <c r="B61" s="16" t="s">
        <v>283</v>
      </c>
      <c r="C61" s="126">
        <f>'10. 감가상각비계획 '!G36</f>
        <v/>
      </c>
      <c r="D61" s="9"/>
      <c r="E61" s="11"/>
    </row>
    <row r="62" spans="2:5" ht="14.45" customHeight="1">
      <c r="B62" s="16" t="s">
        <v>284</v>
      </c>
      <c r="C62" s="126">
        <f>'10. 감가상각비계획 '!I36</f>
        <v/>
      </c>
      <c r="D62" s="9"/>
      <c r="E62" s="11"/>
    </row>
    <row r="63" spans="2:5" ht="14.45" customHeight="1">
      <c r="B63" s="16" t="s">
        <v>294</v>
      </c>
      <c r="C63" s="82">
        <f>'10. 감가상각비계획 '!K36</f>
        <v/>
      </c>
      <c r="D63" s="20"/>
      <c r="E63" s="19"/>
    </row>
    <row r="64" spans="2:5" ht="14.45" customHeight="1">
      <c r="B64" s="15" t="s">
        <v>286</v>
      </c>
      <c r="C64" s="126">
        <f>SUM(C65:C66)</f>
        <v/>
      </c>
      <c r="D64" s="117"/>
      <c r="E64" s="192"/>
    </row>
    <row r="65" spans="2:5" ht="14.45" customHeight="1">
      <c r="B65" s="16" t="s">
        <v>287</v>
      </c>
      <c r="C65" s="118"/>
      <c r="D65" s="117" t="s">
        <v>288</v>
      </c>
      <c r="E65" s="11"/>
    </row>
    <row r="66" spans="2:5" ht="14.45" customHeight="1">
      <c r="B66" s="16" t="s">
        <v>289</v>
      </c>
      <c r="C66" s="118">
        <f>1470/3.3*0+1260/3.3*0</f>
        <v/>
      </c>
      <c r="D66" s="9"/>
      <c r="E66" s="11"/>
    </row>
    <row r="67" spans="2:5" ht="14.45" customHeight="1">
      <c r="B67" s="43" t="s">
        <v>290</v>
      </c>
      <c r="C67" s="50">
        <f>0</f>
        <v/>
      </c>
      <c r="D67" s="26"/>
      <c r="E67" s="44"/>
    </row>
    <row r="68" spans="2:5" ht="14.45" customHeight="1">
      <c r="B68" s="43" t="s">
        <v>291</v>
      </c>
      <c r="C68" s="118">
        <f>0</f>
        <v/>
      </c>
      <c r="D68" s="117"/>
      <c r="E68" s="44"/>
    </row>
    <row r="69" spans="2:5" ht="14.45" customHeight="1">
      <c r="B69" s="43" t="s">
        <v>292</v>
      </c>
      <c r="C69" s="79"/>
      <c r="D69" s="26"/>
      <c r="E69" s="42"/>
    </row>
    <row r="70" spans="2:5" ht="14.45" customHeight="1" thickBot="1">
      <c r="B70" s="93" t="s">
        <v>87</v>
      </c>
      <c r="C70" s="39">
        <f>C55+C58+C60+C64+C67+C68+C69</f>
        <v/>
      </c>
      <c r="D70" s="40"/>
      <c r="E70" s="41"/>
    </row>
    <row r="71" spans="2:5" ht="15" customHeight="1">
      <c r="B71" s="785"/>
      <c r="C71" s="785"/>
      <c r="D71" s="785"/>
      <c r="E71" s="785"/>
    </row>
    <row r="72" spans="2:5" ht="20.100000000000001" customHeight="1">
      <c r="B72" s="90" t="s">
        <v>209</v>
      </c>
    </row>
    <row r="73" spans="2:5" ht="15" customHeight="1" thickBot="1">
      <c r="D73" s="55"/>
      <c r="E73" s="47" t="s">
        <v>295</v>
      </c>
    </row>
    <row r="74" spans="2:5" ht="14.1" customHeight="1">
      <c r="B74" s="185" t="s">
        <v>273</v>
      </c>
      <c r="C74" s="21" t="s">
        <v>274</v>
      </c>
      <c r="D74" s="21" t="s">
        <v>275</v>
      </c>
      <c r="E74" s="22" t="s">
        <v>24</v>
      </c>
    </row>
    <row r="75" spans="2:5" ht="14.45" customHeight="1">
      <c r="B75" s="15" t="s">
        <v>277</v>
      </c>
      <c r="C75" s="81">
        <f>SUM(C76:C77)</f>
        <v/>
      </c>
      <c r="D75" s="91"/>
      <c r="E75" s="191"/>
    </row>
    <row r="76" spans="2:5" ht="14.45" customHeight="1">
      <c r="B76" s="16" t="s">
        <v>278</v>
      </c>
      <c r="C76" s="49">
        <f>C56</f>
        <v/>
      </c>
      <c r="D76" s="34"/>
      <c r="E76" s="192"/>
    </row>
    <row r="77" spans="2:5" ht="14.45" customHeight="1">
      <c r="B77" s="17" t="s">
        <v>284</v>
      </c>
      <c r="C77" s="82">
        <f>C57</f>
        <v/>
      </c>
      <c r="D77" s="18"/>
      <c r="E77" s="19"/>
    </row>
    <row r="78" spans="2:5" ht="14.45" customHeight="1">
      <c r="B78" s="16" t="s">
        <v>280</v>
      </c>
      <c r="C78" s="126">
        <f>C58*1.025</f>
        <v/>
      </c>
      <c r="D78" s="117"/>
      <c r="E78" s="192"/>
    </row>
    <row r="79" spans="2:5" ht="14.45" customHeight="1">
      <c r="B79" s="80"/>
      <c r="C79" s="49"/>
      <c r="D79" s="18"/>
      <c r="E79" s="192"/>
    </row>
    <row r="80" spans="2:5" ht="14.45" customHeight="1">
      <c r="B80" s="15" t="s">
        <v>281</v>
      </c>
      <c r="C80" s="81">
        <f>SUM(C81:C83)</f>
        <v/>
      </c>
      <c r="D80" s="117" t="s">
        <v>282</v>
      </c>
      <c r="E80" s="10"/>
    </row>
    <row r="81" spans="2:5" ht="14.45" customHeight="1">
      <c r="B81" s="16" t="s">
        <v>283</v>
      </c>
      <c r="C81" s="126">
        <f>'10. 감가상각비계획 '!G48</f>
        <v/>
      </c>
      <c r="D81" s="9"/>
      <c r="E81" s="11"/>
    </row>
    <row r="82" spans="2:5" ht="14.45" customHeight="1">
      <c r="B82" s="16" t="s">
        <v>284</v>
      </c>
      <c r="C82" s="126">
        <f>'10. 감가상각비계획 '!I48</f>
        <v/>
      </c>
      <c r="D82" s="9"/>
      <c r="E82" s="11"/>
    </row>
    <row r="83" spans="2:5" ht="14.45" customHeight="1">
      <c r="B83" s="16" t="s">
        <v>294</v>
      </c>
      <c r="C83" s="82">
        <f>'10. 감가상각비계획 '!K48</f>
        <v/>
      </c>
      <c r="D83" s="20"/>
      <c r="E83" s="19"/>
    </row>
    <row r="84" spans="2:5" ht="14.45" customHeight="1">
      <c r="B84" s="15" t="s">
        <v>286</v>
      </c>
      <c r="C84" s="126">
        <f>SUM(C85:C86)</f>
        <v/>
      </c>
      <c r="D84" s="117"/>
      <c r="E84" s="192"/>
    </row>
    <row r="85" spans="2:5" ht="14.45" customHeight="1">
      <c r="B85" s="16" t="s">
        <v>287</v>
      </c>
      <c r="C85" s="118"/>
      <c r="D85" s="117" t="s">
        <v>288</v>
      </c>
      <c r="E85" s="11"/>
    </row>
    <row r="86" spans="2:5" ht="14.45" customHeight="1">
      <c r="B86" s="16" t="s">
        <v>289</v>
      </c>
      <c r="C86" s="118">
        <f>1470/3.3*0+1260/3.3*0</f>
        <v/>
      </c>
      <c r="D86" s="9"/>
      <c r="E86" s="11"/>
    </row>
    <row r="87" spans="2:5" ht="14.45" customHeight="1">
      <c r="B87" s="43" t="s">
        <v>290</v>
      </c>
      <c r="C87" s="50">
        <f>0</f>
        <v/>
      </c>
      <c r="D87" s="26"/>
      <c r="E87" s="44"/>
    </row>
    <row r="88" spans="2:5" ht="14.45" customHeight="1">
      <c r="B88" s="43" t="s">
        <v>291</v>
      </c>
      <c r="C88" s="118">
        <f>0</f>
        <v/>
      </c>
      <c r="D88" s="117"/>
      <c r="E88" s="44"/>
    </row>
    <row r="89" spans="2:5" ht="14.45" customHeight="1">
      <c r="B89" s="43" t="s">
        <v>292</v>
      </c>
      <c r="C89" s="79"/>
      <c r="D89" s="26"/>
      <c r="E89" s="42"/>
    </row>
    <row r="90" spans="2:5" ht="14.45" customHeight="1" thickBot="1">
      <c r="B90" s="93" t="s">
        <v>87</v>
      </c>
      <c r="C90" s="39">
        <f>C75+C78+C80+C84+C87+C88+C89</f>
        <v/>
      </c>
      <c r="D90" s="40"/>
      <c r="E90" s="41"/>
    </row>
    <row r="91" spans="2:5" ht="15" customHeight="1">
      <c r="B91" s="785"/>
      <c r="C91" s="785"/>
      <c r="D91" s="785"/>
      <c r="E91" s="785"/>
    </row>
    <row r="92" spans="2:5" ht="20.100000000000001" customHeight="1">
      <c r="B92" s="90" t="s">
        <v>210</v>
      </c>
    </row>
    <row r="93" spans="2:5" ht="15" customHeight="1" thickBot="1">
      <c r="D93" s="55"/>
      <c r="E93" s="47" t="s">
        <v>295</v>
      </c>
    </row>
    <row r="94" spans="2:5" ht="14.1" customHeight="1">
      <c r="B94" s="185" t="s">
        <v>273</v>
      </c>
      <c r="C94" s="21" t="s">
        <v>274</v>
      </c>
      <c r="D94" s="21" t="s">
        <v>275</v>
      </c>
      <c r="E94" s="22" t="s">
        <v>24</v>
      </c>
    </row>
    <row r="95" spans="2:5" ht="14.45" customHeight="1">
      <c r="B95" s="15" t="s">
        <v>277</v>
      </c>
      <c r="C95" s="81">
        <f>SUM(C96:C97)</f>
        <v/>
      </c>
      <c r="D95" s="91"/>
      <c r="E95" s="191"/>
    </row>
    <row r="96" spans="2:5" ht="14.45" customHeight="1">
      <c r="B96" s="16" t="s">
        <v>278</v>
      </c>
      <c r="C96" s="49">
        <f>'10. 감가상각비계획 '!$G$8*'9 .경비계획'!$D$6</f>
        <v/>
      </c>
      <c r="D96" s="34"/>
      <c r="E96" s="192"/>
    </row>
    <row r="97" spans="2:5" ht="14.45" customHeight="1">
      <c r="B97" s="17" t="s">
        <v>284</v>
      </c>
      <c r="C97" s="82">
        <f>'10. 감가상각비계획 '!$I$56*'9 .경비계획'!$D$5</f>
        <v/>
      </c>
      <c r="D97" s="18"/>
      <c r="E97" s="19"/>
    </row>
    <row r="98" spans="2:5" ht="14.45" customHeight="1">
      <c r="B98" s="16" t="s">
        <v>280</v>
      </c>
      <c r="C98" s="126">
        <f>C78*1.025</f>
        <v/>
      </c>
      <c r="D98" s="117"/>
      <c r="E98" s="192"/>
    </row>
    <row r="99" spans="2:5" ht="14.45" customHeight="1">
      <c r="B99" s="80"/>
      <c r="C99" s="49"/>
      <c r="D99" s="18"/>
      <c r="E99" s="192"/>
    </row>
    <row r="100" spans="2:5" ht="14.45" customHeight="1">
      <c r="B100" s="15" t="s">
        <v>281</v>
      </c>
      <c r="C100" s="81">
        <f>SUM(C101:C103)</f>
        <v/>
      </c>
      <c r="D100" s="117" t="s">
        <v>282</v>
      </c>
      <c r="E100" s="10"/>
    </row>
    <row r="101" spans="2:5" ht="14.45" customHeight="1">
      <c r="B101" s="16" t="s">
        <v>283</v>
      </c>
      <c r="C101" s="126">
        <f>'10. 감가상각비계획 '!G60</f>
        <v/>
      </c>
      <c r="D101" s="9"/>
      <c r="E101" s="11"/>
    </row>
    <row r="102" spans="2:5" ht="14.45" customHeight="1">
      <c r="B102" s="16" t="s">
        <v>284</v>
      </c>
      <c r="C102" s="126">
        <f>'10. 감가상각비계획 '!I60</f>
        <v/>
      </c>
      <c r="D102" s="9"/>
      <c r="E102" s="11"/>
    </row>
    <row r="103" spans="2:5" ht="14.45" customHeight="1">
      <c r="B103" s="16" t="s">
        <v>294</v>
      </c>
      <c r="C103" s="82">
        <f>'10. 감가상각비계획 '!K60</f>
        <v/>
      </c>
      <c r="D103" s="20"/>
      <c r="E103" s="19"/>
    </row>
    <row r="104" spans="2:5" ht="14.45" customHeight="1">
      <c r="B104" s="15" t="s">
        <v>286</v>
      </c>
      <c r="C104" s="126">
        <f>SUM(C105:C106)</f>
        <v/>
      </c>
      <c r="D104" s="117"/>
      <c r="E104" s="192"/>
    </row>
    <row r="105" spans="2:5" ht="14.45" customHeight="1">
      <c r="B105" s="16" t="s">
        <v>287</v>
      </c>
      <c r="C105" s="118"/>
      <c r="D105" s="117" t="s">
        <v>288</v>
      </c>
      <c r="E105" s="11"/>
    </row>
    <row r="106" spans="2:5" ht="14.45" customHeight="1">
      <c r="B106" s="16" t="s">
        <v>289</v>
      </c>
      <c r="C106" s="118">
        <f>1470/3.3*0+1260/3.3*0</f>
        <v/>
      </c>
      <c r="D106" s="9"/>
      <c r="E106" s="11"/>
    </row>
    <row r="107" spans="2:5" ht="14.45" customHeight="1">
      <c r="B107" s="43" t="s">
        <v>290</v>
      </c>
      <c r="C107" s="50">
        <f>0</f>
        <v/>
      </c>
      <c r="D107" s="26"/>
      <c r="E107" s="44"/>
    </row>
    <row r="108" spans="2:5" ht="14.45" customHeight="1">
      <c r="B108" s="43" t="s">
        <v>291</v>
      </c>
      <c r="C108" s="118">
        <f>0</f>
        <v/>
      </c>
      <c r="D108" s="117"/>
      <c r="E108" s="44"/>
    </row>
    <row r="109" spans="2:5" ht="14.45" customHeight="1">
      <c r="B109" s="43" t="s">
        <v>292</v>
      </c>
      <c r="C109" s="79"/>
      <c r="D109" s="26"/>
      <c r="E109" s="42"/>
    </row>
    <row r="110" spans="2:5" ht="14.45" customHeight="1" thickBot="1">
      <c r="B110" s="93" t="s">
        <v>87</v>
      </c>
      <c r="C110" s="39">
        <f>C95+C98+C100+C104+C107+C108+C109</f>
        <v/>
      </c>
      <c r="D110" s="40"/>
      <c r="E110" s="41"/>
    </row>
    <row r="111" spans="2:5">
      <c r="B111" s="785"/>
      <c r="C111" s="785"/>
      <c r="D111" s="785"/>
      <c r="E111" s="785"/>
    </row>
  </sheetData>
  <mergeCells count="11">
    <mergeCell ref="B91:E91"/>
    <mergeCell ref="B111:E111"/>
    <mergeCell ref="B5:C5"/>
    <mergeCell ref="B6:C6"/>
    <mergeCell ref="B10:C10"/>
    <mergeCell ref="B9:C9"/>
    <mergeCell ref="B4:C4"/>
    <mergeCell ref="B8:C8"/>
    <mergeCell ref="B7:C7"/>
    <mergeCell ref="B2:D2"/>
    <mergeCell ref="B71:E71"/>
  </mergeCells>
  <phoneticPr fontId="2" type="noConversion"/>
  <pageMargins left="0.75" right="0.75" top="1" bottom="0.61" header="0.5" footer="0.5"/>
  <pageSetup paperSize="9" scale="7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B1:K62"/>
  <sheetViews>
    <sheetView showGridLines="0" zoomScale="85" zoomScaleNormal="85" zoomScaleSheetLayoutView="100" workbookViewId="0">
      <selection activeCell="O41" sqref="O41"/>
    </sheetView>
  </sheetViews>
  <sheetFormatPr defaultColWidth="8.88671875" defaultRowHeight="13.5"/>
  <cols>
    <col min="1" max="1" width="5.5546875" style="13" customWidth="1"/>
    <col min="2" max="2" width="20.6640625" style="13" customWidth="1"/>
    <col min="3" max="11" width="18.5546875" style="13" customWidth="1"/>
    <col min="12" max="12" width="6.109375" style="13" customWidth="1"/>
    <col min="13" max="16" width="8.88671875" style="13"/>
    <col min="17" max="17" width="14.109375" style="13" customWidth="1"/>
    <col min="18" max="16384" width="8.88671875" style="13"/>
  </cols>
  <sheetData>
    <row r="1" spans="2:11" ht="15" customHeight="1"/>
    <row r="2" spans="2:11" s="36" customFormat="1" ht="24.95" customHeight="1">
      <c r="B2" s="790" t="s">
        <v>296</v>
      </c>
      <c r="C2" s="790"/>
      <c r="D2" s="790"/>
      <c r="E2" s="351"/>
      <c r="F2" s="351"/>
    </row>
    <row r="3" spans="2:11" s="36" customFormat="1" ht="15" customHeight="1">
      <c r="B3" s="61"/>
      <c r="C3" s="62"/>
      <c r="D3" s="34"/>
      <c r="E3" s="34"/>
      <c r="F3" s="34"/>
    </row>
    <row r="4" spans="2:11" ht="20.100000000000001" customHeight="1">
      <c r="B4" s="179" t="s">
        <v>193</v>
      </c>
      <c r="C4" s="179"/>
      <c r="J4" s="799"/>
      <c r="K4" s="799"/>
    </row>
    <row r="5" spans="2:11" ht="15" customHeight="1" thickBot="1">
      <c r="B5" s="193"/>
      <c r="C5" s="193"/>
      <c r="D5" s="225"/>
      <c r="E5" s="225"/>
      <c r="F5" s="225"/>
      <c r="G5" s="225"/>
      <c r="H5" s="225"/>
      <c r="I5" s="225"/>
      <c r="J5" s="799" t="s">
        <v>297</v>
      </c>
      <c r="K5" s="799"/>
    </row>
    <row r="6" spans="2:11" ht="15" customHeight="1">
      <c r="B6" s="791" t="s">
        <v>298</v>
      </c>
      <c r="C6" s="793" t="s">
        <v>299</v>
      </c>
      <c r="D6" s="794"/>
      <c r="E6" s="794"/>
      <c r="F6" s="794"/>
      <c r="G6" s="795"/>
      <c r="H6" s="796" t="s">
        <v>300</v>
      </c>
      <c r="I6" s="798"/>
      <c r="J6" s="801" t="s">
        <v>301</v>
      </c>
      <c r="K6" s="802"/>
    </row>
    <row r="7" spans="2:11" ht="15" customHeight="1">
      <c r="B7" s="792"/>
      <c r="C7" s="441" t="str">
        <f>'3.투자계획'!C20</f>
        <v/>
      </c>
      <c r="D7" s="442" t="str">
        <f>'3.투자계획'!C21</f>
        <v/>
      </c>
      <c r="E7" s="442" t="str">
        <f>'3.투자계획'!C22</f>
        <v/>
      </c>
      <c r="F7" s="442" t="str">
        <f>'3.투자계획'!C23</f>
        <v/>
      </c>
      <c r="G7" s="260" t="s">
        <v>302</v>
      </c>
      <c r="H7" s="240" t="str">
        <f>'3.투자계획'!C19</f>
        <v/>
      </c>
      <c r="I7" s="241" t="s">
        <v>303</v>
      </c>
      <c r="J7" s="242"/>
      <c r="K7" s="261"/>
    </row>
    <row r="8" spans="2:11" ht="15" customHeight="1">
      <c r="B8" s="349" t="s">
        <v>304</v>
      </c>
      <c r="C8" s="244">
        <f>'3.투자계획'!E20</f>
        <v/>
      </c>
      <c r="D8" s="245">
        <f>'3.투자계획'!E21</f>
        <v/>
      </c>
      <c r="E8" s="245">
        <f>'3.투자계획'!E22</f>
        <v/>
      </c>
      <c r="F8" s="245">
        <f>'3.투자계획'!E23</f>
        <v/>
      </c>
      <c r="G8" s="244">
        <f>SUM(C8:F8)</f>
        <v/>
      </c>
      <c r="H8" s="245">
        <f>'3.투자계획'!E19</f>
        <v/>
      </c>
      <c r="I8" s="245">
        <f>SUM(H8:H8)</f>
        <v/>
      </c>
      <c r="J8" s="246"/>
      <c r="K8" s="247"/>
    </row>
    <row r="9" spans="2:11" ht="15" customHeight="1">
      <c r="B9" s="349" t="s">
        <v>305</v>
      </c>
      <c r="C9" s="248"/>
      <c r="D9" s="249"/>
      <c r="E9" s="249"/>
      <c r="F9" s="249"/>
      <c r="G9" s="250"/>
      <c r="H9" s="249"/>
      <c r="I9" s="251"/>
      <c r="J9" s="252"/>
      <c r="K9" s="247"/>
    </row>
    <row r="10" spans="2:11" ht="15" customHeight="1">
      <c r="B10" s="349" t="s">
        <v>306</v>
      </c>
      <c r="C10" s="244"/>
      <c r="D10" s="245"/>
      <c r="E10" s="245"/>
      <c r="F10" s="245"/>
      <c r="G10" s="250"/>
      <c r="H10" s="245"/>
      <c r="I10" s="251"/>
      <c r="J10" s="246"/>
      <c r="K10" s="247"/>
    </row>
    <row r="11" spans="2:11" ht="15" customHeight="1">
      <c r="B11" s="349" t="s">
        <v>307</v>
      </c>
      <c r="C11" s="253"/>
      <c r="D11" s="254"/>
      <c r="E11" s="254"/>
      <c r="F11" s="254"/>
      <c r="G11" s="250"/>
      <c r="H11" s="245"/>
      <c r="I11" s="251"/>
      <c r="J11" s="187"/>
      <c r="K11" s="247"/>
    </row>
    <row r="12" spans="2:11" ht="15" customHeight="1">
      <c r="B12" s="349" t="s">
        <v>308</v>
      </c>
      <c r="C12" s="244">
        <f>C8/C10</f>
        <v/>
      </c>
      <c r="D12" s="244">
        <f t="shared" ref="D12:F12" si="0">D8/D10</f>
        <v/>
      </c>
      <c r="E12" s="244">
        <f t="shared" si="0"/>
        <v/>
      </c>
      <c r="F12" s="244">
        <f t="shared" si="0"/>
        <v/>
      </c>
      <c r="G12" s="244">
        <f>SUM(C12:F12)</f>
        <v/>
      </c>
      <c r="H12" s="245">
        <f>(H8-H8*0.1)/H10</f>
        <v/>
      </c>
      <c r="I12" s="245">
        <f>SUM(H12:H12)</f>
        <v/>
      </c>
      <c r="J12" s="246"/>
      <c r="K12" s="247"/>
    </row>
    <row r="13" spans="2:11" ht="15" customHeight="1">
      <c r="B13" s="350" t="s">
        <v>309</v>
      </c>
      <c r="C13" s="244">
        <f>C11*C12</f>
        <v/>
      </c>
      <c r="D13" s="244">
        <f t="shared" ref="D13:F13" si="1">D11*D12</f>
        <v/>
      </c>
      <c r="E13" s="244">
        <f t="shared" si="1"/>
        <v/>
      </c>
      <c r="F13" s="244">
        <f t="shared" si="1"/>
        <v/>
      </c>
      <c r="G13" s="244">
        <f>SUM(C13:F13)</f>
        <v/>
      </c>
      <c r="H13" s="245">
        <f>H11*H12</f>
        <v/>
      </c>
      <c r="I13" s="245">
        <f>SUM(H13:H13)</f>
        <v/>
      </c>
      <c r="J13" s="246"/>
      <c r="K13" s="247"/>
    </row>
    <row r="14" spans="2:11" ht="15" customHeight="1" thickBot="1">
      <c r="B14" s="352" t="s">
        <v>310</v>
      </c>
      <c r="C14" s="255">
        <f>C8-C13</f>
        <v/>
      </c>
      <c r="D14" s="256">
        <f>D8-D13</f>
        <v/>
      </c>
      <c r="E14" s="256">
        <f>E8-E13</f>
        <v/>
      </c>
      <c r="F14" s="256">
        <f>F8-F13</f>
        <v/>
      </c>
      <c r="G14" s="244">
        <f>SUM(C14:F14)</f>
        <v/>
      </c>
      <c r="H14" s="256">
        <f>H8-H13</f>
        <v/>
      </c>
      <c r="I14" s="257">
        <f>SUM(H14:H14)</f>
        <v/>
      </c>
      <c r="J14" s="258"/>
      <c r="K14" s="259"/>
    </row>
    <row r="15" spans="2:11" ht="15" customHeight="1">
      <c r="B15" s="72"/>
      <c r="C15" s="72"/>
      <c r="D15" s="37"/>
      <c r="E15" s="37"/>
      <c r="F15" s="37"/>
      <c r="G15" s="38"/>
      <c r="H15" s="37"/>
      <c r="I15" s="38"/>
    </row>
    <row r="16" spans="2:11" ht="20.100000000000001" customHeight="1">
      <c r="B16" s="179" t="s">
        <v>205</v>
      </c>
      <c r="C16" s="179"/>
      <c r="I16" s="14"/>
      <c r="J16" s="799"/>
      <c r="K16" s="799"/>
    </row>
    <row r="17" spans="2:11" ht="15" customHeight="1" thickBot="1">
      <c r="B17" s="193"/>
      <c r="C17" s="193"/>
      <c r="D17" s="225"/>
      <c r="E17" s="225"/>
      <c r="F17" s="225"/>
      <c r="G17" s="225"/>
      <c r="H17" s="225"/>
      <c r="I17" s="226"/>
      <c r="J17" s="799" t="s">
        <v>311</v>
      </c>
      <c r="K17" s="799"/>
    </row>
    <row r="18" spans="2:11" ht="15" customHeight="1">
      <c r="B18" s="791" t="s">
        <v>312</v>
      </c>
      <c r="C18" s="796" t="s">
        <v>299</v>
      </c>
      <c r="D18" s="797"/>
      <c r="E18" s="797"/>
      <c r="F18" s="797"/>
      <c r="G18" s="798"/>
      <c r="H18" s="796" t="s">
        <v>300</v>
      </c>
      <c r="I18" s="798"/>
      <c r="J18" s="801" t="s">
        <v>301</v>
      </c>
      <c r="K18" s="802"/>
    </row>
    <row r="19" spans="2:11" ht="15" customHeight="1">
      <c r="B19" s="792"/>
      <c r="C19" s="441" t="str">
        <f>C7</f>
        <v/>
      </c>
      <c r="D19" s="441" t="str">
        <f t="shared" ref="D19:F19" si="2">D7</f>
        <v/>
      </c>
      <c r="E19" s="441" t="str">
        <f t="shared" si="2"/>
        <v/>
      </c>
      <c r="F19" s="441" t="str">
        <f t="shared" si="2"/>
        <v/>
      </c>
      <c r="G19" s="260" t="s">
        <v>313</v>
      </c>
      <c r="H19" s="240"/>
      <c r="I19" s="241" t="s">
        <v>303</v>
      </c>
      <c r="J19" s="242"/>
      <c r="K19" s="243"/>
    </row>
    <row r="20" spans="2:11" ht="15" customHeight="1">
      <c r="B20" s="349" t="s">
        <v>314</v>
      </c>
      <c r="C20" s="244">
        <f>C8</f>
        <v/>
      </c>
      <c r="D20" s="244">
        <f t="shared" ref="D20:F20" si="3">D8</f>
        <v/>
      </c>
      <c r="E20" s="244">
        <f t="shared" si="3"/>
        <v/>
      </c>
      <c r="F20" s="244">
        <f t="shared" si="3"/>
        <v/>
      </c>
      <c r="G20" s="244">
        <f>SUM(C20:F20)</f>
        <v/>
      </c>
      <c r="H20" s="245"/>
      <c r="I20" s="245">
        <f>SUM(H20:H20)</f>
        <v/>
      </c>
      <c r="J20" s="246"/>
      <c r="K20" s="247"/>
    </row>
    <row r="21" spans="2:11" ht="15" customHeight="1">
      <c r="B21" s="349" t="s">
        <v>315</v>
      </c>
      <c r="C21" s="248">
        <f>C9</f>
        <v/>
      </c>
      <c r="D21" s="248">
        <f t="shared" ref="D21:F21" si="4">D9</f>
        <v/>
      </c>
      <c r="E21" s="248">
        <f t="shared" si="4"/>
        <v/>
      </c>
      <c r="F21" s="248">
        <f t="shared" si="4"/>
        <v/>
      </c>
      <c r="G21" s="250"/>
      <c r="H21" s="248">
        <f t="shared" ref="H21" si="5">H9</f>
        <v/>
      </c>
      <c r="I21" s="251"/>
      <c r="J21" s="252"/>
      <c r="K21" s="247"/>
    </row>
    <row r="22" spans="2:11" ht="15" customHeight="1">
      <c r="B22" s="349" t="s">
        <v>306</v>
      </c>
      <c r="C22" s="244">
        <f>C10</f>
        <v/>
      </c>
      <c r="D22" s="244">
        <f t="shared" ref="D22:F22" si="6">D10</f>
        <v/>
      </c>
      <c r="E22" s="244">
        <f t="shared" si="6"/>
        <v/>
      </c>
      <c r="F22" s="244">
        <f t="shared" si="6"/>
        <v/>
      </c>
      <c r="G22" s="250"/>
      <c r="H22" s="244">
        <f t="shared" ref="H22" si="7">H10</f>
        <v/>
      </c>
      <c r="I22" s="251"/>
      <c r="J22" s="246"/>
      <c r="K22" s="247"/>
    </row>
    <row r="23" spans="2:11" ht="15" customHeight="1">
      <c r="B23" s="349" t="s">
        <v>307</v>
      </c>
      <c r="C23" s="253">
        <f>C11+1</f>
        <v/>
      </c>
      <c r="D23" s="253">
        <f t="shared" ref="D23:H23" si="8">D11+1</f>
        <v/>
      </c>
      <c r="E23" s="253">
        <f t="shared" si="8"/>
        <v/>
      </c>
      <c r="F23" s="253">
        <f t="shared" si="8"/>
        <v/>
      </c>
      <c r="G23" s="250"/>
      <c r="H23" s="253">
        <f t="shared" si="8"/>
        <v/>
      </c>
      <c r="I23" s="251"/>
      <c r="J23" s="187"/>
      <c r="K23" s="247"/>
    </row>
    <row r="24" spans="2:11" ht="15" customHeight="1">
      <c r="B24" s="349" t="s">
        <v>308</v>
      </c>
      <c r="C24" s="244">
        <f>C20/C22</f>
        <v/>
      </c>
      <c r="D24" s="244">
        <f t="shared" ref="D24:F24" si="9">D20/D22</f>
        <v/>
      </c>
      <c r="E24" s="244">
        <f t="shared" si="9"/>
        <v/>
      </c>
      <c r="F24" s="244">
        <f t="shared" si="9"/>
        <v/>
      </c>
      <c r="G24" s="244">
        <f>SUM(C24:F24)</f>
        <v/>
      </c>
      <c r="H24" s="245">
        <f>(H20-H20*0.1)/H22</f>
        <v/>
      </c>
      <c r="I24" s="245">
        <f>SUM(H24:H24)</f>
        <v/>
      </c>
      <c r="J24" s="246"/>
      <c r="K24" s="247"/>
    </row>
    <row r="25" spans="2:11" ht="15" customHeight="1">
      <c r="B25" s="350" t="s">
        <v>309</v>
      </c>
      <c r="C25" s="244">
        <f>C23*C24</f>
        <v/>
      </c>
      <c r="D25" s="244">
        <f t="shared" ref="D25" si="10">D23*D24</f>
        <v/>
      </c>
      <c r="E25" s="244">
        <f t="shared" ref="E25" si="11">E23*E24</f>
        <v/>
      </c>
      <c r="F25" s="244">
        <f t="shared" ref="F25" si="12">F23*F24</f>
        <v/>
      </c>
      <c r="G25" s="244">
        <f>SUM(C25:F25)</f>
        <v/>
      </c>
      <c r="H25" s="245">
        <f>H23*H24</f>
        <v/>
      </c>
      <c r="I25" s="245">
        <f>SUM(H25:H25)</f>
        <v/>
      </c>
      <c r="J25" s="246"/>
      <c r="K25" s="247"/>
    </row>
    <row r="26" spans="2:11" ht="15" customHeight="1" thickBot="1">
      <c r="B26" s="352" t="s">
        <v>310</v>
      </c>
      <c r="C26" s="255">
        <f>C20-C25</f>
        <v/>
      </c>
      <c r="D26" s="256">
        <f>D20-D25</f>
        <v/>
      </c>
      <c r="E26" s="256">
        <f>E20-E25</f>
        <v/>
      </c>
      <c r="F26" s="256">
        <f>F20-F25</f>
        <v/>
      </c>
      <c r="G26" s="244">
        <f>SUM(C26:F26)</f>
        <v/>
      </c>
      <c r="H26" s="256">
        <f>H20-H25</f>
        <v/>
      </c>
      <c r="I26" s="257">
        <f>SUM(H26:H26)</f>
        <v/>
      </c>
      <c r="J26" s="258"/>
      <c r="K26" s="259"/>
    </row>
    <row r="27" spans="2:11" ht="15" customHeight="1">
      <c r="B27" s="195"/>
      <c r="C27" s="196"/>
      <c r="D27" s="196"/>
      <c r="E27" s="196"/>
      <c r="F27" s="196"/>
      <c r="G27" s="197"/>
      <c r="H27" s="196"/>
      <c r="I27" s="197"/>
    </row>
    <row r="28" spans="2:11" ht="20.100000000000001" customHeight="1">
      <c r="B28" s="179" t="s">
        <v>208</v>
      </c>
      <c r="C28" s="179"/>
      <c r="I28" s="14"/>
      <c r="J28" s="14"/>
      <c r="K28" s="14"/>
    </row>
    <row r="29" spans="2:11" ht="15" customHeight="1" thickBot="1">
      <c r="B29" s="193"/>
      <c r="C29" s="193"/>
      <c r="D29" s="225"/>
      <c r="E29" s="225"/>
      <c r="F29" s="225"/>
      <c r="G29" s="225"/>
      <c r="H29" s="225"/>
      <c r="I29" s="226"/>
      <c r="J29" s="800" t="s">
        <v>311</v>
      </c>
      <c r="K29" s="800"/>
    </row>
    <row r="30" spans="2:11" ht="15" customHeight="1">
      <c r="B30" s="791" t="s">
        <v>312</v>
      </c>
      <c r="C30" s="793" t="s">
        <v>299</v>
      </c>
      <c r="D30" s="794"/>
      <c r="E30" s="794"/>
      <c r="F30" s="794"/>
      <c r="G30" s="795"/>
      <c r="H30" s="796" t="s">
        <v>300</v>
      </c>
      <c r="I30" s="798"/>
      <c r="J30" s="801" t="s">
        <v>301</v>
      </c>
      <c r="K30" s="802"/>
    </row>
    <row r="31" spans="2:11" ht="15" customHeight="1">
      <c r="B31" s="792"/>
      <c r="C31" s="441" t="str">
        <f>C19</f>
        <v/>
      </c>
      <c r="D31" s="441" t="str">
        <f t="shared" ref="D31:F32" si="13">D19</f>
        <v/>
      </c>
      <c r="E31" s="441" t="str">
        <f t="shared" si="13"/>
        <v/>
      </c>
      <c r="F31" s="441" t="str">
        <f t="shared" si="13"/>
        <v/>
      </c>
      <c r="G31" s="239" t="s">
        <v>316</v>
      </c>
      <c r="H31" s="240"/>
      <c r="I31" s="241" t="s">
        <v>303</v>
      </c>
      <c r="J31" s="242"/>
      <c r="K31" s="243"/>
    </row>
    <row r="32" spans="2:11" ht="15" customHeight="1">
      <c r="B32" s="349" t="s">
        <v>314</v>
      </c>
      <c r="C32" s="244">
        <f>C20</f>
        <v/>
      </c>
      <c r="D32" s="244">
        <f t="shared" si="13"/>
        <v/>
      </c>
      <c r="E32" s="244">
        <f t="shared" si="13"/>
        <v/>
      </c>
      <c r="F32" s="244">
        <f t="shared" si="13"/>
        <v/>
      </c>
      <c r="G32" s="244">
        <f>SUM(C32:F32)</f>
        <v/>
      </c>
      <c r="H32" s="245"/>
      <c r="I32" s="245">
        <f>SUM(H32:H32)</f>
        <v/>
      </c>
      <c r="J32" s="246"/>
      <c r="K32" s="247"/>
    </row>
    <row r="33" spans="2:11" ht="15" customHeight="1">
      <c r="B33" s="349" t="s">
        <v>317</v>
      </c>
      <c r="C33" s="248">
        <f>C21</f>
        <v/>
      </c>
      <c r="D33" s="248">
        <f t="shared" ref="D33:F33" si="14">D21</f>
        <v/>
      </c>
      <c r="E33" s="248">
        <f t="shared" si="14"/>
        <v/>
      </c>
      <c r="F33" s="248">
        <f t="shared" si="14"/>
        <v/>
      </c>
      <c r="G33" s="250"/>
      <c r="H33" s="248">
        <f t="shared" ref="H33:H34" si="15">H21</f>
        <v/>
      </c>
      <c r="I33" s="251"/>
      <c r="J33" s="252"/>
      <c r="K33" s="247"/>
    </row>
    <row r="34" spans="2:11" ht="15" customHeight="1">
      <c r="B34" s="349" t="s">
        <v>306</v>
      </c>
      <c r="C34" s="244">
        <f>C22</f>
        <v/>
      </c>
      <c r="D34" s="244">
        <f t="shared" ref="D34:F34" si="16">D22</f>
        <v/>
      </c>
      <c r="E34" s="244">
        <f t="shared" si="16"/>
        <v/>
      </c>
      <c r="F34" s="244">
        <f t="shared" si="16"/>
        <v/>
      </c>
      <c r="G34" s="250"/>
      <c r="H34" s="244">
        <f t="shared" si="15"/>
        <v/>
      </c>
      <c r="I34" s="251"/>
      <c r="J34" s="246"/>
      <c r="K34" s="247"/>
    </row>
    <row r="35" spans="2:11" ht="15" customHeight="1">
      <c r="B35" s="349" t="s">
        <v>307</v>
      </c>
      <c r="C35" s="253">
        <f>C23+1</f>
        <v/>
      </c>
      <c r="D35" s="253">
        <f t="shared" ref="D35:H35" si="17">D23+1</f>
        <v/>
      </c>
      <c r="E35" s="253">
        <f t="shared" si="17"/>
        <v/>
      </c>
      <c r="F35" s="253">
        <f t="shared" si="17"/>
        <v/>
      </c>
      <c r="G35" s="250"/>
      <c r="H35" s="253">
        <f t="shared" si="17"/>
        <v/>
      </c>
      <c r="I35" s="251"/>
      <c r="J35" s="187"/>
      <c r="K35" s="247"/>
    </row>
    <row r="36" spans="2:11" ht="15" customHeight="1">
      <c r="B36" s="349" t="s">
        <v>308</v>
      </c>
      <c r="C36" s="244">
        <f>C32/C34</f>
        <v/>
      </c>
      <c r="D36" s="244">
        <f t="shared" ref="D36:F36" si="18">D32/D34</f>
        <v/>
      </c>
      <c r="E36" s="244">
        <f t="shared" si="18"/>
        <v/>
      </c>
      <c r="F36" s="244">
        <f t="shared" si="18"/>
        <v/>
      </c>
      <c r="G36" s="244">
        <f>SUM(C36:F36)</f>
        <v/>
      </c>
      <c r="H36" s="245">
        <f>(H32-H32*0.1)/H34</f>
        <v/>
      </c>
      <c r="I36" s="245">
        <f>SUM(H36:H36)</f>
        <v/>
      </c>
      <c r="J36" s="246"/>
      <c r="K36" s="247"/>
    </row>
    <row r="37" spans="2:11" ht="15" customHeight="1">
      <c r="B37" s="350" t="s">
        <v>309</v>
      </c>
      <c r="C37" s="244">
        <f>C35*C36</f>
        <v/>
      </c>
      <c r="D37" s="244">
        <f t="shared" ref="D37" si="19">D35*D36</f>
        <v/>
      </c>
      <c r="E37" s="244">
        <f t="shared" ref="E37" si="20">E35*E36</f>
        <v/>
      </c>
      <c r="F37" s="244">
        <f t="shared" ref="F37" si="21">F35*F36</f>
        <v/>
      </c>
      <c r="G37" s="244">
        <f>SUM(C37:F37)</f>
        <v/>
      </c>
      <c r="H37" s="245">
        <f>H35*H36</f>
        <v/>
      </c>
      <c r="I37" s="245">
        <f>SUM(H37:H37)</f>
        <v/>
      </c>
      <c r="J37" s="246"/>
      <c r="K37" s="247"/>
    </row>
    <row r="38" spans="2:11" ht="15" customHeight="1" thickBot="1">
      <c r="B38" s="352" t="s">
        <v>310</v>
      </c>
      <c r="C38" s="255">
        <f>C32-C37</f>
        <v/>
      </c>
      <c r="D38" s="256">
        <f>D32-D37</f>
        <v/>
      </c>
      <c r="E38" s="256">
        <f>E32-E37</f>
        <v/>
      </c>
      <c r="F38" s="256">
        <f>F32-F37</f>
        <v/>
      </c>
      <c r="G38" s="244">
        <f>SUM(C38:F38)</f>
        <v/>
      </c>
      <c r="H38" s="256">
        <f>H32-H37</f>
        <v/>
      </c>
      <c r="I38" s="257">
        <f>SUM(H38:H38)</f>
        <v/>
      </c>
      <c r="J38" s="258"/>
      <c r="K38" s="259"/>
    </row>
    <row r="39" spans="2:11" ht="15" customHeight="1">
      <c r="B39" s="72"/>
      <c r="C39" s="72"/>
      <c r="D39" s="37"/>
      <c r="E39" s="37"/>
      <c r="F39" s="37"/>
      <c r="G39" s="37"/>
      <c r="H39" s="38"/>
      <c r="I39" s="37"/>
      <c r="J39" s="38"/>
    </row>
    <row r="40" spans="2:11" ht="20.100000000000001" customHeight="1">
      <c r="B40" s="179" t="s">
        <v>209</v>
      </c>
      <c r="C40" s="179"/>
      <c r="J40" s="799"/>
      <c r="K40" s="799"/>
    </row>
    <row r="41" spans="2:11" ht="15" customHeight="1" thickBot="1">
      <c r="B41" s="193"/>
      <c r="C41" s="193"/>
      <c r="D41" s="225"/>
      <c r="E41" s="225"/>
      <c r="F41" s="225"/>
      <c r="G41" s="225"/>
      <c r="H41" s="225"/>
      <c r="I41" s="225"/>
      <c r="J41" s="800" t="s">
        <v>311</v>
      </c>
      <c r="K41" s="800"/>
    </row>
    <row r="42" spans="2:11" ht="15" customHeight="1">
      <c r="B42" s="791" t="s">
        <v>312</v>
      </c>
      <c r="C42" s="793" t="s">
        <v>299</v>
      </c>
      <c r="D42" s="794"/>
      <c r="E42" s="794"/>
      <c r="F42" s="794"/>
      <c r="G42" s="795"/>
      <c r="H42" s="796" t="s">
        <v>300</v>
      </c>
      <c r="I42" s="798"/>
      <c r="J42" s="801" t="s">
        <v>301</v>
      </c>
      <c r="K42" s="802"/>
    </row>
    <row r="43" spans="2:11" ht="15" customHeight="1">
      <c r="B43" s="792"/>
      <c r="C43" s="441" t="str">
        <f>C31</f>
        <v/>
      </c>
      <c r="D43" s="441" t="str">
        <f t="shared" ref="D43:F44" si="22">D31</f>
        <v/>
      </c>
      <c r="E43" s="441" t="str">
        <f t="shared" si="22"/>
        <v/>
      </c>
      <c r="F43" s="441" t="str">
        <f t="shared" si="22"/>
        <v/>
      </c>
      <c r="G43" s="239" t="s">
        <v>318</v>
      </c>
      <c r="H43" s="240"/>
      <c r="I43" s="241" t="s">
        <v>303</v>
      </c>
      <c r="J43" s="242"/>
      <c r="K43" s="243"/>
    </row>
    <row r="44" spans="2:11" ht="15" customHeight="1">
      <c r="B44" s="349" t="s">
        <v>314</v>
      </c>
      <c r="C44" s="244">
        <f>C32</f>
        <v/>
      </c>
      <c r="D44" s="244">
        <f t="shared" si="22"/>
        <v/>
      </c>
      <c r="E44" s="244">
        <f t="shared" si="22"/>
        <v/>
      </c>
      <c r="F44" s="244">
        <f t="shared" si="22"/>
        <v/>
      </c>
      <c r="G44" s="244">
        <f>SUM(C44:F44)</f>
        <v/>
      </c>
      <c r="H44" s="245"/>
      <c r="I44" s="245">
        <f>SUM(H44:H44)</f>
        <v/>
      </c>
      <c r="J44" s="246"/>
      <c r="K44" s="247"/>
    </row>
    <row r="45" spans="2:11" ht="15" customHeight="1">
      <c r="B45" s="349" t="s">
        <v>305</v>
      </c>
      <c r="C45" s="248">
        <f>C33</f>
        <v/>
      </c>
      <c r="D45" s="248">
        <f t="shared" ref="D45:F45" si="23">D33</f>
        <v/>
      </c>
      <c r="E45" s="248">
        <f t="shared" si="23"/>
        <v/>
      </c>
      <c r="F45" s="248">
        <f t="shared" si="23"/>
        <v/>
      </c>
      <c r="G45" s="250"/>
      <c r="H45" s="248">
        <f t="shared" ref="H45:H46" si="24">H33</f>
        <v/>
      </c>
      <c r="I45" s="251"/>
      <c r="J45" s="252"/>
      <c r="K45" s="247"/>
    </row>
    <row r="46" spans="2:11" ht="15" customHeight="1">
      <c r="B46" s="349" t="s">
        <v>306</v>
      </c>
      <c r="C46" s="244">
        <f>C34</f>
        <v/>
      </c>
      <c r="D46" s="244">
        <f t="shared" ref="D46:F46" si="25">D34</f>
        <v/>
      </c>
      <c r="E46" s="244">
        <f t="shared" si="25"/>
        <v/>
      </c>
      <c r="F46" s="244">
        <f t="shared" si="25"/>
        <v/>
      </c>
      <c r="G46" s="250"/>
      <c r="H46" s="244">
        <f t="shared" si="24"/>
        <v/>
      </c>
      <c r="I46" s="251"/>
      <c r="J46" s="246"/>
      <c r="K46" s="247"/>
    </row>
    <row r="47" spans="2:11" ht="15" customHeight="1">
      <c r="B47" s="349" t="s">
        <v>319</v>
      </c>
      <c r="C47" s="253">
        <f>C35+1</f>
        <v/>
      </c>
      <c r="D47" s="253">
        <f t="shared" ref="D47:H47" si="26">D35+1</f>
        <v/>
      </c>
      <c r="E47" s="253">
        <f t="shared" si="26"/>
        <v/>
      </c>
      <c r="F47" s="253">
        <f t="shared" si="26"/>
        <v/>
      </c>
      <c r="G47" s="250"/>
      <c r="H47" s="253">
        <f t="shared" si="26"/>
        <v/>
      </c>
      <c r="I47" s="251"/>
      <c r="J47" s="187"/>
      <c r="K47" s="247"/>
    </row>
    <row r="48" spans="2:11" ht="15" customHeight="1">
      <c r="B48" s="349" t="s">
        <v>320</v>
      </c>
      <c r="C48" s="244">
        <f>C44/C46</f>
        <v/>
      </c>
      <c r="D48" s="244">
        <f t="shared" ref="D48:F48" si="27">D44/D46</f>
        <v/>
      </c>
      <c r="E48" s="244">
        <f t="shared" si="27"/>
        <v/>
      </c>
      <c r="F48" s="244">
        <f t="shared" si="27"/>
        <v/>
      </c>
      <c r="G48" s="244">
        <f>SUM(C48:F48)</f>
        <v/>
      </c>
      <c r="H48" s="245">
        <f>(H44-H44*0.1)/H46</f>
        <v/>
      </c>
      <c r="I48" s="245">
        <f>SUM(H48:H48)</f>
        <v/>
      </c>
      <c r="J48" s="246"/>
      <c r="K48" s="247"/>
    </row>
    <row r="49" spans="2:11" ht="15" customHeight="1">
      <c r="B49" s="350" t="s">
        <v>321</v>
      </c>
      <c r="C49" s="244">
        <f>C47*C48</f>
        <v/>
      </c>
      <c r="D49" s="244">
        <f t="shared" ref="D49" si="28">D47*D48</f>
        <v/>
      </c>
      <c r="E49" s="244">
        <f t="shared" ref="E49" si="29">E47*E48</f>
        <v/>
      </c>
      <c r="F49" s="244">
        <f t="shared" ref="F49" si="30">F47*F48</f>
        <v/>
      </c>
      <c r="G49" s="244">
        <f>SUM(C49:F49)</f>
        <v/>
      </c>
      <c r="H49" s="245">
        <f>H47*H48</f>
        <v/>
      </c>
      <c r="I49" s="245">
        <f>SUM(H49:H49)</f>
        <v/>
      </c>
      <c r="J49" s="246"/>
      <c r="K49" s="247"/>
    </row>
    <row r="50" spans="2:11" ht="15" customHeight="1" thickBot="1">
      <c r="B50" s="352" t="s">
        <v>322</v>
      </c>
      <c r="C50" s="255">
        <f>C44-C49</f>
        <v/>
      </c>
      <c r="D50" s="256">
        <f>D44-D49</f>
        <v/>
      </c>
      <c r="E50" s="256">
        <f>E44-E49</f>
        <v/>
      </c>
      <c r="F50" s="256">
        <f>F44-F49</f>
        <v/>
      </c>
      <c r="G50" s="244">
        <f>SUM(C50:F50)</f>
        <v/>
      </c>
      <c r="H50" s="256">
        <f>H44-H49</f>
        <v/>
      </c>
      <c r="I50" s="257">
        <f>SUM(H50:H50)</f>
        <v/>
      </c>
      <c r="J50" s="258"/>
      <c r="K50" s="259"/>
    </row>
    <row r="51" spans="2:11" ht="15" customHeight="1">
      <c r="B51" s="72"/>
      <c r="C51" s="72"/>
      <c r="D51" s="37"/>
      <c r="E51" s="37"/>
      <c r="F51" s="37"/>
      <c r="G51" s="37"/>
      <c r="H51" s="38"/>
      <c r="I51" s="37"/>
      <c r="J51" s="38"/>
    </row>
    <row r="52" spans="2:11" ht="20.100000000000001" customHeight="1">
      <c r="B52" s="179" t="s">
        <v>210</v>
      </c>
      <c r="C52" s="179"/>
      <c r="J52" s="799"/>
      <c r="K52" s="799"/>
    </row>
    <row r="53" spans="2:11" ht="15" customHeight="1" thickBot="1">
      <c r="B53" s="193"/>
      <c r="C53" s="193"/>
      <c r="D53" s="225"/>
      <c r="E53" s="225"/>
      <c r="F53" s="225"/>
      <c r="G53" s="225"/>
      <c r="H53" s="225"/>
      <c r="I53" s="225"/>
      <c r="J53" s="800" t="s">
        <v>311</v>
      </c>
      <c r="K53" s="800"/>
    </row>
    <row r="54" spans="2:11" ht="15" customHeight="1">
      <c r="B54" s="791" t="s">
        <v>298</v>
      </c>
      <c r="C54" s="793" t="s">
        <v>299</v>
      </c>
      <c r="D54" s="794"/>
      <c r="E54" s="794"/>
      <c r="F54" s="794"/>
      <c r="G54" s="795"/>
      <c r="H54" s="796" t="s">
        <v>300</v>
      </c>
      <c r="I54" s="798"/>
      <c r="J54" s="801" t="s">
        <v>301</v>
      </c>
      <c r="K54" s="802"/>
    </row>
    <row r="55" spans="2:11" ht="15" customHeight="1">
      <c r="B55" s="792"/>
      <c r="C55" s="441" t="str">
        <f>C43</f>
        <v/>
      </c>
      <c r="D55" s="441" t="str">
        <f t="shared" ref="D55:F56" si="31">D43</f>
        <v/>
      </c>
      <c r="E55" s="441" t="str">
        <f t="shared" si="31"/>
        <v/>
      </c>
      <c r="F55" s="441" t="str">
        <f t="shared" si="31"/>
        <v/>
      </c>
      <c r="G55" s="239" t="s">
        <v>313</v>
      </c>
      <c r="H55" s="240"/>
      <c r="I55" s="260" t="s">
        <v>303</v>
      </c>
      <c r="J55" s="242"/>
      <c r="K55" s="243"/>
    </row>
    <row r="56" spans="2:11" ht="15" customHeight="1">
      <c r="B56" s="349" t="s">
        <v>304</v>
      </c>
      <c r="C56" s="244">
        <f>C44</f>
        <v/>
      </c>
      <c r="D56" s="244">
        <f t="shared" si="31"/>
        <v/>
      </c>
      <c r="E56" s="244">
        <f t="shared" si="31"/>
        <v/>
      </c>
      <c r="F56" s="244">
        <f t="shared" si="31"/>
        <v/>
      </c>
      <c r="G56" s="244">
        <f>SUM(C56:F56)</f>
        <v/>
      </c>
      <c r="H56" s="245"/>
      <c r="I56" s="244">
        <f>SUM(H56:H56)</f>
        <v/>
      </c>
      <c r="J56" s="246"/>
      <c r="K56" s="247"/>
    </row>
    <row r="57" spans="2:11" ht="15" customHeight="1">
      <c r="B57" s="349" t="s">
        <v>305</v>
      </c>
      <c r="C57" s="248">
        <f>C45</f>
        <v/>
      </c>
      <c r="D57" s="248">
        <f t="shared" ref="D57:F57" si="32">D45</f>
        <v/>
      </c>
      <c r="E57" s="248">
        <f t="shared" si="32"/>
        <v/>
      </c>
      <c r="F57" s="248">
        <f t="shared" si="32"/>
        <v/>
      </c>
      <c r="G57" s="250"/>
      <c r="H57" s="248">
        <f t="shared" ref="H57:H58" si="33">H45</f>
        <v/>
      </c>
      <c r="I57" s="250"/>
      <c r="J57" s="252"/>
      <c r="K57" s="247"/>
    </row>
    <row r="58" spans="2:11" ht="15" customHeight="1">
      <c r="B58" s="349" t="s">
        <v>306</v>
      </c>
      <c r="C58" s="244">
        <f>C46</f>
        <v/>
      </c>
      <c r="D58" s="244">
        <f t="shared" ref="D58:F58" si="34">D46</f>
        <v/>
      </c>
      <c r="E58" s="244">
        <f t="shared" si="34"/>
        <v/>
      </c>
      <c r="F58" s="244">
        <f t="shared" si="34"/>
        <v/>
      </c>
      <c r="G58" s="250"/>
      <c r="H58" s="244">
        <f t="shared" si="33"/>
        <v/>
      </c>
      <c r="I58" s="250"/>
      <c r="J58" s="246"/>
      <c r="K58" s="247"/>
    </row>
    <row r="59" spans="2:11" ht="15" customHeight="1">
      <c r="B59" s="349" t="s">
        <v>319</v>
      </c>
      <c r="C59" s="253">
        <f>C47+1</f>
        <v/>
      </c>
      <c r="D59" s="253">
        <f t="shared" ref="D59:H59" si="35">D47+1</f>
        <v/>
      </c>
      <c r="E59" s="253">
        <f t="shared" si="35"/>
        <v/>
      </c>
      <c r="F59" s="253">
        <f t="shared" si="35"/>
        <v/>
      </c>
      <c r="G59" s="250"/>
      <c r="H59" s="253">
        <f t="shared" si="35"/>
        <v/>
      </c>
      <c r="I59" s="250"/>
      <c r="J59" s="187"/>
      <c r="K59" s="247"/>
    </row>
    <row r="60" spans="2:11" ht="15" customHeight="1">
      <c r="B60" s="349" t="s">
        <v>320</v>
      </c>
      <c r="C60" s="244">
        <f>C56/C58</f>
        <v/>
      </c>
      <c r="D60" s="244">
        <f t="shared" ref="D60:F60" si="36">D56/D58</f>
        <v/>
      </c>
      <c r="E60" s="244">
        <f t="shared" si="36"/>
        <v/>
      </c>
      <c r="F60" s="244">
        <f t="shared" si="36"/>
        <v/>
      </c>
      <c r="G60" s="244">
        <f>SUM(C60:F60)</f>
        <v/>
      </c>
      <c r="H60" s="245">
        <f>(H56-H56*0.1)/H58</f>
        <v/>
      </c>
      <c r="I60" s="245">
        <f>SUM(H60:H60)</f>
        <v/>
      </c>
      <c r="J60" s="246"/>
      <c r="K60" s="247"/>
    </row>
    <row r="61" spans="2:11" ht="15" customHeight="1">
      <c r="B61" s="350" t="s">
        <v>321</v>
      </c>
      <c r="C61" s="244">
        <f>C59*C60</f>
        <v/>
      </c>
      <c r="D61" s="244">
        <f t="shared" ref="D61" si="37">D59*D60</f>
        <v/>
      </c>
      <c r="E61" s="244">
        <f t="shared" ref="E61" si="38">E59*E60</f>
        <v/>
      </c>
      <c r="F61" s="244">
        <f t="shared" ref="F61" si="39">F59*F60</f>
        <v/>
      </c>
      <c r="G61" s="244">
        <f>SUM(C61:F61)</f>
        <v/>
      </c>
      <c r="H61" s="245">
        <f>H59*H60</f>
        <v/>
      </c>
      <c r="I61" s="245">
        <f>SUM(H61:H61)</f>
        <v/>
      </c>
      <c r="J61" s="246"/>
      <c r="K61" s="247"/>
    </row>
    <row r="62" spans="2:11" ht="15" customHeight="1" thickBot="1">
      <c r="B62" s="352" t="s">
        <v>322</v>
      </c>
      <c r="C62" s="255">
        <f>C56-C61</f>
        <v/>
      </c>
      <c r="D62" s="256">
        <f>D56-D61</f>
        <v/>
      </c>
      <c r="E62" s="256">
        <f>E56-E61</f>
        <v/>
      </c>
      <c r="F62" s="256">
        <f>F56-F61</f>
        <v/>
      </c>
      <c r="G62" s="244">
        <f>SUM(C62:F62)</f>
        <v/>
      </c>
      <c r="H62" s="256">
        <f>H56-H61</f>
        <v/>
      </c>
      <c r="I62" s="257">
        <f>SUM(H62:H62)</f>
        <v/>
      </c>
      <c r="J62" s="258"/>
      <c r="K62" s="259"/>
    </row>
  </sheetData>
  <mergeCells count="30">
    <mergeCell ref="J53:K53"/>
    <mergeCell ref="J41:K41"/>
    <mergeCell ref="J29:K29"/>
    <mergeCell ref="H54:I54"/>
    <mergeCell ref="H6:I6"/>
    <mergeCell ref="J54:K54"/>
    <mergeCell ref="H42:I42"/>
    <mergeCell ref="J40:K40"/>
    <mergeCell ref="J52:K52"/>
    <mergeCell ref="J6:K6"/>
    <mergeCell ref="J18:K18"/>
    <mergeCell ref="J30:K30"/>
    <mergeCell ref="J42:K42"/>
    <mergeCell ref="J17:K17"/>
    <mergeCell ref="H18:I18"/>
    <mergeCell ref="H30:I30"/>
    <mergeCell ref="J4:K4"/>
    <mergeCell ref="J16:K16"/>
    <mergeCell ref="J5:K5"/>
    <mergeCell ref="B42:B43"/>
    <mergeCell ref="B30:B31"/>
    <mergeCell ref="B2:D2"/>
    <mergeCell ref="B6:B7"/>
    <mergeCell ref="B54:B55"/>
    <mergeCell ref="C6:G6"/>
    <mergeCell ref="C18:G18"/>
    <mergeCell ref="C30:G30"/>
    <mergeCell ref="C42:G42"/>
    <mergeCell ref="C54:G54"/>
    <mergeCell ref="B18:B19"/>
  </mergeCells>
  <phoneticPr fontId="2" type="noConversion"/>
  <pageMargins left="0.74803149606299213" right="0.74803149606299213" top="0.98425196850393704" bottom="0.98425196850393704" header="0.51181102362204722" footer="0.51181102362204722"/>
  <pageSetup paperSize="9" scale="7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00"/>
  </sheetPr>
  <dimension ref="B1:M61"/>
  <sheetViews>
    <sheetView showGridLines="0" showWhiteSpace="0" zoomScale="145" zoomScaleNormal="145" zoomScaleSheetLayoutView="100" workbookViewId="0">
      <selection activeCell="C16" sqref="C16"/>
    </sheetView>
  </sheetViews>
  <sheetFormatPr defaultColWidth="8.88671875" defaultRowHeight="13.5"/>
  <cols>
    <col min="1" max="1" width="5.5546875" style="13" customWidth="1"/>
    <col min="2" max="2" width="18.6640625" style="13" customWidth="1"/>
    <col min="3" max="7" width="11.109375" style="13" customWidth="1"/>
    <col min="8" max="8" width="9.44140625" style="13" customWidth="1"/>
    <col min="9" max="9" width="10.109375" style="13" bestFit="1" customWidth="1"/>
    <col min="10" max="10" width="8.88671875" style="13"/>
    <col min="11" max="11" width="9.33203125" style="13" bestFit="1" customWidth="1"/>
    <col min="12" max="16384" width="8.88671875" style="13"/>
  </cols>
  <sheetData>
    <row r="1" spans="2:13" ht="15" customHeight="1"/>
    <row r="2" spans="2:13" ht="24.95" customHeight="1">
      <c r="B2" s="790" t="s">
        <v>11</v>
      </c>
      <c r="C2" s="790"/>
      <c r="D2" s="790"/>
    </row>
    <row r="3" spans="2:13" ht="15" customHeight="1" thickBot="1">
      <c r="B3" s="73"/>
      <c r="E3" s="225"/>
      <c r="F3" s="225"/>
      <c r="G3" s="225" t="s">
        <v>311</v>
      </c>
    </row>
    <row r="4" spans="2:13" ht="12" customHeight="1">
      <c r="B4" s="270" t="s">
        <v>323</v>
      </c>
      <c r="C4" s="271"/>
      <c r="D4" s="271"/>
      <c r="E4" s="271"/>
      <c r="F4" s="271"/>
      <c r="G4" s="271"/>
    </row>
    <row r="5" spans="2:13" ht="12.6" customHeight="1">
      <c r="B5" s="272" t="s">
        <v>324</v>
      </c>
      <c r="C5" s="273">
        <f>SUM(C6:C10)</f>
        <v/>
      </c>
      <c r="D5" s="273">
        <f t="shared" ref="D5:G5" si="0">SUM(D6:D10)</f>
        <v/>
      </c>
      <c r="E5" s="273">
        <f t="shared" si="0"/>
        <v/>
      </c>
      <c r="F5" s="273">
        <f t="shared" si="0"/>
        <v/>
      </c>
      <c r="G5" s="273">
        <f t="shared" si="0"/>
        <v/>
      </c>
      <c r="I5" s="161"/>
      <c r="K5" s="160"/>
      <c r="M5" s="160"/>
    </row>
    <row r="6" spans="2:13" ht="12.6" customHeight="1">
      <c r="B6" s="272" t="s">
        <v>325</v>
      </c>
      <c r="C6" s="273">
        <f>'7. 영농자재소요계획'!G16</f>
        <v/>
      </c>
      <c r="D6" s="273">
        <f>'7. 영농자재소요계획'!G26</f>
        <v/>
      </c>
      <c r="E6" s="273">
        <f>'7. 영농자재소요계획'!G36</f>
        <v/>
      </c>
      <c r="F6" s="273">
        <f>'7. 영농자재소요계획'!G46</f>
        <v/>
      </c>
      <c r="G6" s="274">
        <f>'7. 영농자재소요계획'!G56</f>
        <v/>
      </c>
      <c r="I6" s="161"/>
      <c r="K6" s="160"/>
      <c r="M6" s="160"/>
    </row>
    <row r="7" spans="2:13" ht="12.6" customHeight="1">
      <c r="B7" s="272" t="s">
        <v>326</v>
      </c>
      <c r="C7" s="273">
        <f>'7. 영농자재소요계획'!G17</f>
        <v/>
      </c>
      <c r="D7" s="273">
        <f>'7. 영농자재소요계획'!G27</f>
        <v/>
      </c>
      <c r="E7" s="273">
        <f>'7. 영농자재소요계획'!G37</f>
        <v/>
      </c>
      <c r="F7" s="273">
        <f>'7. 영농자재소요계획'!G47</f>
        <v/>
      </c>
      <c r="G7" s="274">
        <f>'7. 영농자재소요계획'!G57</f>
        <v/>
      </c>
      <c r="I7" s="161"/>
      <c r="K7" s="160"/>
      <c r="M7" s="160"/>
    </row>
    <row r="8" spans="2:13" ht="12.6" customHeight="1">
      <c r="B8" s="272" t="s">
        <v>327</v>
      </c>
      <c r="C8" s="273">
        <f>'7. 영농자재소요계획'!G18</f>
        <v/>
      </c>
      <c r="D8" s="273">
        <f>'7. 영농자재소요계획'!G28</f>
        <v/>
      </c>
      <c r="E8" s="273">
        <f>'7. 영농자재소요계획'!G38</f>
        <v/>
      </c>
      <c r="F8" s="273">
        <f>'7. 영농자재소요계획'!G48</f>
        <v/>
      </c>
      <c r="G8" s="274">
        <f>'7. 영농자재소요계획'!G58</f>
        <v/>
      </c>
      <c r="I8" s="161"/>
      <c r="K8" s="160"/>
      <c r="M8" s="160"/>
    </row>
    <row r="9" spans="2:13" ht="12.6" customHeight="1">
      <c r="B9" s="272" t="s">
        <v>328</v>
      </c>
      <c r="C9" s="273">
        <f>'7. 영농자재소요계획'!G19</f>
        <v/>
      </c>
      <c r="D9" s="273">
        <f>'7. 영농자재소요계획'!G29</f>
        <v/>
      </c>
      <c r="E9" s="273">
        <f>'7. 영농자재소요계획'!G39</f>
        <v/>
      </c>
      <c r="F9" s="273">
        <f>'7. 영농자재소요계획'!G49</f>
        <v/>
      </c>
      <c r="G9" s="274">
        <f>'7. 영농자재소요계획'!G59</f>
        <v/>
      </c>
      <c r="I9" s="161"/>
      <c r="K9" s="160"/>
      <c r="M9" s="160"/>
    </row>
    <row r="10" spans="2:13" ht="12.6" customHeight="1">
      <c r="B10" s="272" t="s">
        <v>329</v>
      </c>
      <c r="C10" s="273">
        <f>'7. 영농자재소요계획'!G20</f>
        <v/>
      </c>
      <c r="D10" s="273">
        <f>'7. 영농자재소요계획'!G30</f>
        <v/>
      </c>
      <c r="E10" s="273">
        <f>'7. 영농자재소요계획'!G40</f>
        <v/>
      </c>
      <c r="F10" s="273">
        <f>'7. 영농자재소요계획'!G50</f>
        <v/>
      </c>
      <c r="G10" s="274">
        <f>'7. 영농자재소요계획'!G60</f>
        <v/>
      </c>
      <c r="I10" s="161"/>
      <c r="K10" s="160"/>
      <c r="M10" s="160"/>
    </row>
    <row r="11" spans="2:13" ht="12.6" customHeight="1">
      <c r="B11" s="272" t="s">
        <v>330</v>
      </c>
      <c r="C11" s="275">
        <f>SUM(C12:C15)</f>
        <v/>
      </c>
      <c r="D11" s="275">
        <f>SUM(D12:D15)</f>
        <v/>
      </c>
      <c r="E11" s="275">
        <f>SUM(E12:E15)</f>
        <v/>
      </c>
      <c r="F11" s="275">
        <f>SUM(F12:F15)</f>
        <v/>
      </c>
      <c r="G11" s="276">
        <f>SUM(G12:G15)</f>
        <v/>
      </c>
      <c r="I11" s="161"/>
      <c r="K11" s="160"/>
      <c r="M11" s="160"/>
    </row>
    <row r="12" spans="2:13" ht="12.6" customHeight="1">
      <c r="B12" s="272" t="s">
        <v>331</v>
      </c>
      <c r="C12" s="273">
        <f>'8. 노무비계획'!H10</f>
        <v/>
      </c>
      <c r="D12" s="273">
        <f>'8. 노무비계획'!K10</f>
        <v/>
      </c>
      <c r="E12" s="273">
        <f>'8. 노무비계획'!N10</f>
        <v/>
      </c>
      <c r="F12" s="273">
        <f>'8. 노무비계획'!Q10</f>
        <v/>
      </c>
      <c r="G12" s="274">
        <f>'8. 노무비계획'!T10</f>
        <v/>
      </c>
      <c r="I12" s="161"/>
      <c r="K12" s="160"/>
      <c r="M12" s="160"/>
    </row>
    <row r="13" spans="2:13" ht="12.6" customHeight="1">
      <c r="B13" s="272" t="s">
        <v>332</v>
      </c>
      <c r="C13" s="273">
        <f>0</f>
        <v/>
      </c>
      <c r="D13" s="273">
        <f>0</f>
        <v/>
      </c>
      <c r="E13" s="273">
        <f>0</f>
        <v/>
      </c>
      <c r="F13" s="273">
        <f>0</f>
        <v/>
      </c>
      <c r="G13" s="274">
        <f>0</f>
        <v/>
      </c>
      <c r="I13" s="161"/>
      <c r="K13" s="160"/>
      <c r="M13" s="160"/>
    </row>
    <row r="14" spans="2:13" ht="12.6" customHeight="1">
      <c r="B14" s="272" t="s">
        <v>333</v>
      </c>
      <c r="C14" s="273">
        <f>0</f>
        <v/>
      </c>
      <c r="D14" s="273">
        <f>0</f>
        <v/>
      </c>
      <c r="E14" s="273">
        <f>0</f>
        <v/>
      </c>
      <c r="F14" s="273">
        <f>0</f>
        <v/>
      </c>
      <c r="G14" s="274">
        <f>0</f>
        <v/>
      </c>
      <c r="I14" s="161"/>
      <c r="K14" s="160"/>
      <c r="M14" s="160"/>
    </row>
    <row r="15" spans="2:13" ht="12.6" customHeight="1">
      <c r="B15" s="277" t="s">
        <v>334</v>
      </c>
      <c r="C15" s="273">
        <f>'8. 노무비계획'!H13</f>
        <v/>
      </c>
      <c r="D15" s="273">
        <f>'8. 노무비계획'!K13</f>
        <v/>
      </c>
      <c r="E15" s="273">
        <f>'8. 노무비계획'!N13</f>
        <v/>
      </c>
      <c r="F15" s="273">
        <f>'8. 노무비계획'!Q13</f>
        <v/>
      </c>
      <c r="G15" s="274">
        <f>'8. 노무비계획'!T13</f>
        <v/>
      </c>
      <c r="I15" s="161"/>
      <c r="K15" s="160"/>
      <c r="M15" s="160"/>
    </row>
    <row r="16" spans="2:13" ht="12.6" customHeight="1">
      <c r="B16" s="272" t="s">
        <v>335</v>
      </c>
      <c r="C16" s="273">
        <f>C17+C20+C25+C21+C29+C30</f>
        <v/>
      </c>
      <c r="D16" s="273">
        <f>D17+D20+D25+D21+D29+D30</f>
        <v/>
      </c>
      <c r="E16" s="273">
        <f>E17+E20+E25+E21+E29+E30</f>
        <v/>
      </c>
      <c r="F16" s="273">
        <f>F17+F20+F25+F21+F29+F30</f>
        <v/>
      </c>
      <c r="G16" s="274">
        <f>G17+G20+G25+G21+G29+G30</f>
        <v/>
      </c>
      <c r="I16" s="161"/>
      <c r="K16" s="160"/>
      <c r="M16" s="160"/>
    </row>
    <row r="17" spans="2:13" ht="12.6" customHeight="1">
      <c r="B17" s="272" t="s">
        <v>336</v>
      </c>
      <c r="C17" s="273">
        <f>SUM(C18:C19)</f>
        <v/>
      </c>
      <c r="D17" s="273">
        <f>SUM(D18:D19)</f>
        <v/>
      </c>
      <c r="E17" s="273">
        <f>SUM(E18:E19)</f>
        <v/>
      </c>
      <c r="F17" s="273">
        <f>SUM(F18:F19)</f>
        <v/>
      </c>
      <c r="G17" s="274">
        <f>SUM(G18:G19)</f>
        <v/>
      </c>
      <c r="I17" s="161"/>
      <c r="K17" s="160"/>
      <c r="M17" s="160"/>
    </row>
    <row r="18" spans="2:13" ht="12.6" customHeight="1">
      <c r="B18" s="278" t="s">
        <v>337</v>
      </c>
      <c r="C18" s="273">
        <f>'9 .경비계획'!$C16</f>
        <v/>
      </c>
      <c r="D18" s="273">
        <f>'9 .경비계획'!$C36</f>
        <v/>
      </c>
      <c r="E18" s="273">
        <f>'9 .경비계획'!$C56</f>
        <v/>
      </c>
      <c r="F18" s="273">
        <f>'9 .경비계획'!$C76</f>
        <v/>
      </c>
      <c r="G18" s="274">
        <f>'9 .경비계획'!$C96</f>
        <v/>
      </c>
      <c r="I18" s="161"/>
      <c r="K18" s="160"/>
      <c r="M18" s="160"/>
    </row>
    <row r="19" spans="2:13" ht="12.6" customHeight="1">
      <c r="B19" s="272" t="s">
        <v>338</v>
      </c>
      <c r="C19" s="273">
        <f>'9 .경비계획'!C17</f>
        <v/>
      </c>
      <c r="D19" s="273">
        <f>'9 .경비계획'!C37</f>
        <v/>
      </c>
      <c r="E19" s="273">
        <f>'9 .경비계획'!C57</f>
        <v/>
      </c>
      <c r="F19" s="273">
        <f>'9 .경비계획'!C77</f>
        <v/>
      </c>
      <c r="G19" s="274">
        <f>'9 .경비계획'!C97</f>
        <v/>
      </c>
      <c r="I19" s="161"/>
      <c r="K19" s="160"/>
      <c r="M19" s="160"/>
    </row>
    <row r="20" spans="2:13" ht="12.6" customHeight="1">
      <c r="B20" s="272" t="s">
        <v>339</v>
      </c>
      <c r="C20" s="273">
        <f>'9 .경비계획'!C18</f>
        <v/>
      </c>
      <c r="D20" s="273">
        <f>'9 .경비계획'!C38</f>
        <v/>
      </c>
      <c r="E20" s="273">
        <f>'9 .경비계획'!C58</f>
        <v/>
      </c>
      <c r="F20" s="273">
        <f>'9 .경비계획'!C78</f>
        <v/>
      </c>
      <c r="G20" s="274">
        <f>'9 .경비계획'!C98</f>
        <v/>
      </c>
      <c r="I20" s="161"/>
      <c r="K20" s="160"/>
      <c r="M20" s="160"/>
    </row>
    <row r="21" spans="2:13" ht="12.6" customHeight="1">
      <c r="B21" s="279" t="s">
        <v>340</v>
      </c>
      <c r="C21" s="280">
        <f>SUM(C22:C24)</f>
        <v/>
      </c>
      <c r="D21" s="280">
        <f>SUM(D22:D24)</f>
        <v/>
      </c>
      <c r="E21" s="280">
        <f>SUM(E22:E24)</f>
        <v/>
      </c>
      <c r="F21" s="280">
        <f>SUM(F22:F24)</f>
        <v/>
      </c>
      <c r="G21" s="281">
        <f>SUM(G22:G24)</f>
        <v/>
      </c>
      <c r="I21" s="161"/>
      <c r="M21" s="160"/>
    </row>
    <row r="22" spans="2:13" ht="12.6" customHeight="1">
      <c r="B22" s="282" t="s">
        <v>341</v>
      </c>
      <c r="C22" s="283">
        <f>'10. 감가상각비계획 '!G12</f>
        <v/>
      </c>
      <c r="D22" s="284">
        <f>'10. 감가상각비계획 '!G24</f>
        <v/>
      </c>
      <c r="E22" s="283">
        <f>'10. 감가상각비계획 '!G36</f>
        <v/>
      </c>
      <c r="F22" s="284">
        <f>'10. 감가상각비계획 '!G48</f>
        <v/>
      </c>
      <c r="G22" s="285">
        <f>'10. 감가상각비계획 '!G60</f>
        <v/>
      </c>
      <c r="I22" s="161"/>
      <c r="K22" s="160"/>
      <c r="M22" s="160"/>
    </row>
    <row r="23" spans="2:13" ht="12.6" customHeight="1">
      <c r="B23" s="282" t="s">
        <v>342</v>
      </c>
      <c r="C23" s="283">
        <f>'10. 감가상각비계획 '!I12</f>
        <v/>
      </c>
      <c r="D23" s="284">
        <f>'10. 감가상각비계획 '!I24</f>
        <v/>
      </c>
      <c r="E23" s="283">
        <f>'10. 감가상각비계획 '!I36</f>
        <v/>
      </c>
      <c r="F23" s="284">
        <f>'10. 감가상각비계획 '!I48</f>
        <v/>
      </c>
      <c r="G23" s="285">
        <f>'10. 감가상각비계획 '!I60</f>
        <v/>
      </c>
      <c r="I23" s="161"/>
      <c r="K23" s="160"/>
      <c r="M23" s="160"/>
    </row>
    <row r="24" spans="2:13" ht="12.6" customHeight="1">
      <c r="B24" s="286" t="s">
        <v>343</v>
      </c>
      <c r="C24" s="287">
        <f>'10. 감가상각비계획 '!K12</f>
        <v/>
      </c>
      <c r="D24" s="288">
        <f>'10. 감가상각비계획 '!K24</f>
        <v/>
      </c>
      <c r="E24" s="287">
        <f>'10. 감가상각비계획 '!K36</f>
        <v/>
      </c>
      <c r="F24" s="288">
        <f>'10. 감가상각비계획 '!K48</f>
        <v/>
      </c>
      <c r="G24" s="289">
        <f>'10. 감가상각비계획 '!K60</f>
        <v/>
      </c>
      <c r="I24" s="161"/>
      <c r="K24" s="160"/>
      <c r="M24" s="160"/>
    </row>
    <row r="25" spans="2:13" ht="12.6" customHeight="1">
      <c r="B25" s="279" t="s">
        <v>344</v>
      </c>
      <c r="C25" s="280">
        <f>SUM(C26:C27)</f>
        <v/>
      </c>
      <c r="D25" s="290">
        <f>SUM(C26:C27)</f>
        <v/>
      </c>
      <c r="E25" s="280">
        <f>SUM(C26:C27)</f>
        <v/>
      </c>
      <c r="F25" s="290">
        <f>SUM(C26:C27)</f>
        <v/>
      </c>
      <c r="G25" s="281">
        <f>SUM(C26:C27)</f>
        <v/>
      </c>
      <c r="I25" s="161"/>
      <c r="K25" s="160"/>
      <c r="M25" s="160"/>
    </row>
    <row r="26" spans="2:13" ht="12.6" customHeight="1">
      <c r="B26" s="282" t="s">
        <v>345</v>
      </c>
      <c r="C26" s="283">
        <f>'9 .경비계획'!C25</f>
        <v/>
      </c>
      <c r="D26" s="283">
        <f>'9 .경비계획'!C45</f>
        <v/>
      </c>
      <c r="E26" s="283">
        <f>'9 .경비계획'!C65</f>
        <v/>
      </c>
      <c r="F26" s="284">
        <f>'9 .경비계획'!C85</f>
        <v/>
      </c>
      <c r="G26" s="285">
        <f>'9 .경비계획'!C105</f>
        <v/>
      </c>
      <c r="I26" s="161"/>
      <c r="K26" s="160"/>
      <c r="M26" s="160"/>
    </row>
    <row r="27" spans="2:13" ht="12.6" customHeight="1">
      <c r="B27" s="286" t="s">
        <v>346</v>
      </c>
      <c r="C27" s="287">
        <f>'9 .경비계획'!C26</f>
        <v/>
      </c>
      <c r="D27" s="288">
        <f>'9 .경비계획'!C46</f>
        <v/>
      </c>
      <c r="E27" s="287">
        <f>'9 .경비계획'!C66</f>
        <v/>
      </c>
      <c r="F27" s="288">
        <f>'9 .경비계획'!C86</f>
        <v/>
      </c>
      <c r="G27" s="289">
        <f>'9 .경비계획'!C106</f>
        <v/>
      </c>
      <c r="I27" s="161"/>
      <c r="K27" s="160"/>
      <c r="M27" s="160"/>
    </row>
    <row r="28" spans="2:13" ht="12.6" customHeight="1">
      <c r="B28" s="286" t="s">
        <v>347</v>
      </c>
      <c r="C28" s="287"/>
      <c r="D28" s="288"/>
      <c r="E28" s="287"/>
      <c r="F28" s="291"/>
      <c r="G28" s="289">
        <f>0</f>
        <v/>
      </c>
      <c r="I28" s="161"/>
      <c r="K28" s="160"/>
      <c r="M28" s="160"/>
    </row>
    <row r="29" spans="2:13" ht="12.6" customHeight="1">
      <c r="B29" s="272" t="s">
        <v>348</v>
      </c>
      <c r="C29" s="273">
        <f>'9 .경비계획'!$C28</f>
        <v/>
      </c>
      <c r="D29" s="273">
        <f>0</f>
        <v/>
      </c>
      <c r="E29" s="273">
        <f>0</f>
        <v/>
      </c>
      <c r="F29" s="273">
        <f>0</f>
        <v/>
      </c>
      <c r="G29" s="274">
        <f>0</f>
        <v/>
      </c>
      <c r="I29" s="161"/>
      <c r="K29" s="160"/>
      <c r="M29" s="160"/>
    </row>
    <row r="30" spans="2:13" ht="12.6" customHeight="1">
      <c r="B30" s="272" t="s">
        <v>349</v>
      </c>
      <c r="C30" s="273">
        <f>'9 .경비계획'!$C29</f>
        <v/>
      </c>
      <c r="D30" s="273">
        <f>'9 .경비계획'!$C29</f>
        <v/>
      </c>
      <c r="E30" s="273">
        <f>'9 .경비계획'!$C29</f>
        <v/>
      </c>
      <c r="F30" s="273">
        <f>'9 .경비계획'!$C29</f>
        <v/>
      </c>
      <c r="G30" s="274">
        <f>'9 .경비계획'!$C29</f>
        <v/>
      </c>
      <c r="I30" s="161"/>
      <c r="K30" s="160"/>
      <c r="M30" s="160"/>
    </row>
    <row r="31" spans="2:13" ht="12.6" customHeight="1">
      <c r="B31" s="272" t="s">
        <v>350</v>
      </c>
      <c r="C31" s="273">
        <f>C5+C11+C16</f>
        <v/>
      </c>
      <c r="D31" s="273">
        <f>D5+D11+D16</f>
        <v/>
      </c>
      <c r="E31" s="273">
        <f>E5+E11+E16</f>
        <v/>
      </c>
      <c r="F31" s="273">
        <f>F5+F11+F16</f>
        <v/>
      </c>
      <c r="G31" s="274">
        <f>G5+G11+G16</f>
        <v/>
      </c>
      <c r="I31" s="161"/>
      <c r="K31" s="160"/>
      <c r="M31" s="160"/>
    </row>
    <row r="32" spans="2:13" ht="12.6" customHeight="1">
      <c r="B32" s="292" t="s">
        <v>351</v>
      </c>
      <c r="C32" s="280">
        <f>0</f>
        <v/>
      </c>
      <c r="D32" s="280">
        <f>0</f>
        <v/>
      </c>
      <c r="E32" s="280">
        <f>0</f>
        <v/>
      </c>
      <c r="F32" s="280">
        <f>0</f>
        <v/>
      </c>
      <c r="G32" s="281">
        <f>0</f>
        <v/>
      </c>
      <c r="I32" s="161"/>
      <c r="K32" s="160"/>
      <c r="M32" s="160"/>
    </row>
    <row r="33" spans="2:13" ht="12.6" customHeight="1">
      <c r="B33" s="292" t="s">
        <v>352</v>
      </c>
      <c r="C33" s="280">
        <f>0</f>
        <v/>
      </c>
      <c r="D33" s="280">
        <f>0</f>
        <v/>
      </c>
      <c r="E33" s="280">
        <f>0</f>
        <v/>
      </c>
      <c r="F33" s="280">
        <f>0</f>
        <v/>
      </c>
      <c r="G33" s="281">
        <f>0</f>
        <v/>
      </c>
      <c r="I33" s="161"/>
      <c r="K33" s="160"/>
      <c r="M33" s="160"/>
    </row>
    <row r="34" spans="2:13" ht="12.6" customHeight="1">
      <c r="B34" s="292" t="s">
        <v>353</v>
      </c>
      <c r="C34" s="280">
        <f>0</f>
        <v/>
      </c>
      <c r="D34" s="280">
        <f>0</f>
        <v/>
      </c>
      <c r="E34" s="280">
        <f>0</f>
        <v/>
      </c>
      <c r="F34" s="280">
        <f>0</f>
        <v/>
      </c>
      <c r="G34" s="281">
        <f>0</f>
        <v/>
      </c>
    </row>
    <row r="35" spans="2:13" ht="12.6" customHeight="1" thickBot="1">
      <c r="B35" s="293" t="s">
        <v>354</v>
      </c>
      <c r="C35" s="294">
        <f>C31+C32-C33-C34</f>
        <v/>
      </c>
      <c r="D35" s="294">
        <f>D31</f>
        <v/>
      </c>
      <c r="E35" s="294">
        <f>E31+$C$38</f>
        <v/>
      </c>
      <c r="F35" s="294">
        <f>F31+$C$38</f>
        <v/>
      </c>
      <c r="G35" s="295">
        <f>G31+$C$38</f>
        <v/>
      </c>
    </row>
    <row r="36" spans="2:13" ht="12.6" customHeight="1">
      <c r="B36" s="156"/>
      <c r="C36" s="156"/>
      <c r="D36" s="156"/>
    </row>
    <row r="37" spans="2:13" ht="12.6" customHeight="1">
      <c r="B37" s="156"/>
      <c r="C37" s="156"/>
      <c r="D37" s="156"/>
    </row>
    <row r="38" spans="2:13" ht="12.6" customHeight="1">
      <c r="B38" s="156"/>
      <c r="C38" s="156"/>
      <c r="D38" s="156"/>
    </row>
    <row r="39" spans="2:13" ht="12.6" customHeight="1">
      <c r="C39" s="156"/>
      <c r="D39" s="156"/>
    </row>
    <row r="40" spans="2:13" ht="12.6" customHeight="1"/>
    <row r="41" spans="2:13" ht="12.6" customHeight="1"/>
    <row r="42" spans="2:13" ht="12.6" customHeight="1"/>
    <row r="43" spans="2:13" ht="12.6" customHeight="1"/>
    <row r="44" spans="2:13" ht="12.6" customHeight="1"/>
    <row r="45" spans="2:13" ht="12.6" customHeight="1"/>
    <row r="46" spans="2:13" ht="12.6" customHeight="1"/>
    <row r="47" spans="2:13" ht="12.6" customHeight="1"/>
    <row r="48" spans="2:13" ht="12.6" customHeight="1"/>
    <row r="49" ht="12.6" customHeight="1"/>
    <row r="50" ht="12.6" customHeight="1"/>
    <row r="51" ht="12.6" customHeight="1"/>
    <row r="52" ht="12.6" customHeight="1"/>
    <row r="53" ht="12.6" customHeight="1"/>
    <row r="54" ht="12.6" customHeight="1"/>
    <row r="55" ht="12.6" customHeight="1"/>
    <row r="56" ht="12.6" customHeight="1"/>
    <row r="57" ht="12.6" customHeight="1"/>
    <row r="58" ht="12.6" customHeight="1"/>
    <row r="59" ht="15" customHeight="1"/>
    <row r="60" ht="20.100000000000001" customHeight="1"/>
    <row r="61" ht="15" customHeight="1"/>
  </sheetData>
  <mergeCells count="1">
    <mergeCell ref="B2:D2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00"/>
  </sheetPr>
  <dimension ref="B1:R52"/>
  <sheetViews>
    <sheetView showGridLines="0" zoomScale="115" zoomScaleNormal="115" zoomScaleSheetLayoutView="115" workbookViewId="0">
      <selection activeCell="D26" sqref="D26"/>
    </sheetView>
  </sheetViews>
  <sheetFormatPr defaultColWidth="8.88671875" defaultRowHeight="13.5"/>
  <cols>
    <col min="1" max="1" width="5.5546875" style="13" customWidth="1"/>
    <col min="2" max="2" width="18.5546875" style="13" customWidth="1"/>
    <col min="3" max="7" width="11.109375" style="13" customWidth="1"/>
    <col min="8" max="16" width="8.88671875" style="13"/>
    <col min="17" max="17" width="10.44140625" style="13" customWidth="1"/>
    <col min="18" max="16384" width="8.88671875" style="13"/>
  </cols>
  <sheetData>
    <row r="1" spans="2:18" ht="15" customHeight="1"/>
    <row r="2" spans="2:18" ht="24.95" customHeight="1">
      <c r="B2" s="790" t="s">
        <v>355</v>
      </c>
      <c r="C2" s="447"/>
    </row>
    <row r="3" spans="2:18" ht="15" customHeight="1" thickBot="1">
      <c r="B3" s="12"/>
      <c r="G3" s="14" t="s">
        <v>356</v>
      </c>
    </row>
    <row r="4" spans="2:18" s="144" customFormat="1" ht="20.100000000000001" customHeight="1">
      <c r="B4" s="803" t="s">
        <v>357</v>
      </c>
      <c r="C4" s="271"/>
      <c r="D4" s="271"/>
      <c r="E4" s="271"/>
      <c r="F4" s="271"/>
      <c r="G4" s="271"/>
    </row>
    <row r="5" spans="2:18" s="144" customFormat="1" ht="20.100000000000001" customHeight="1">
      <c r="B5" s="804"/>
      <c r="C5" s="97" t="s">
        <v>358</v>
      </c>
      <c r="D5" s="97" t="s">
        <v>358</v>
      </c>
      <c r="E5" s="97" t="s">
        <v>358</v>
      </c>
      <c r="F5" s="97" t="s">
        <v>358</v>
      </c>
      <c r="G5" s="98" t="s">
        <v>358</v>
      </c>
    </row>
    <row r="6" spans="2:18" s="144" customFormat="1" ht="20.100000000000001" customHeight="1">
      <c r="B6" s="99" t="s">
        <v>359</v>
      </c>
      <c r="C6" s="233">
        <f>SUM(C7:C8)</f>
        <v/>
      </c>
      <c r="D6" s="233">
        <f>SUM(D7:D8)</f>
        <v/>
      </c>
      <c r="E6" s="233">
        <f>SUM(E7:E8)</f>
        <v/>
      </c>
      <c r="F6" s="233">
        <f>SUM(F7:F8)</f>
        <v/>
      </c>
      <c r="G6" s="234">
        <f>SUM(G7:G8)</f>
        <v/>
      </c>
    </row>
    <row r="7" spans="2:18" s="144" customFormat="1" ht="20.100000000000001" customHeight="1">
      <c r="B7" s="99" t="s">
        <v>360</v>
      </c>
      <c r="C7" s="233">
        <f>SUM(' 5. 판매계획'!C44:D44)</f>
        <v/>
      </c>
      <c r="D7" s="233">
        <f>SUM(' 5. 판매계획'!E44:F44)</f>
        <v/>
      </c>
      <c r="E7" s="233">
        <f>SUM(' 5. 판매계획'!G44:H44)</f>
        <v/>
      </c>
      <c r="F7" s="233">
        <f>SUM(' 5. 판매계획'!I44:J44)</f>
        <v/>
      </c>
      <c r="G7" s="234">
        <f>SUM(' 5. 판매계획'!K44:L44)</f>
        <v/>
      </c>
    </row>
    <row r="8" spans="2:18" s="144" customFormat="1" ht="20.100000000000001" customHeight="1">
      <c r="B8" s="99" t="s">
        <v>361</v>
      </c>
      <c r="C8" s="233">
        <f>0</f>
        <v/>
      </c>
      <c r="D8" s="233">
        <f>0</f>
        <v/>
      </c>
      <c r="E8" s="233">
        <f>0</f>
        <v/>
      </c>
      <c r="F8" s="233">
        <f>0</f>
        <v/>
      </c>
      <c r="G8" s="234">
        <f>0</f>
        <v/>
      </c>
    </row>
    <row r="9" spans="2:18" s="144" customFormat="1" ht="20.100000000000001" customHeight="1">
      <c r="B9" s="99" t="s">
        <v>362</v>
      </c>
      <c r="C9" s="233">
        <f>'11. 생산원가계획'!C35</f>
        <v/>
      </c>
      <c r="D9" s="233">
        <f>'11. 생산원가계획'!D35</f>
        <v/>
      </c>
      <c r="E9" s="233">
        <f>'11. 생산원가계획'!E35</f>
        <v/>
      </c>
      <c r="F9" s="233">
        <f>'11. 생산원가계획'!F35</f>
        <v/>
      </c>
      <c r="G9" s="234">
        <f>'11. 생산원가계획'!G35</f>
        <v/>
      </c>
    </row>
    <row r="10" spans="2:18" s="144" customFormat="1" ht="20.100000000000001" customHeight="1">
      <c r="B10" s="99" t="s">
        <v>363</v>
      </c>
      <c r="C10" s="233">
        <f>C6-C9</f>
        <v/>
      </c>
      <c r="D10" s="233">
        <f>D6-D9</f>
        <v/>
      </c>
      <c r="E10" s="233">
        <f>E6-E9</f>
        <v/>
      </c>
      <c r="F10" s="233">
        <f>F6-F9</f>
        <v/>
      </c>
      <c r="G10" s="234">
        <f>G6-G9</f>
        <v/>
      </c>
    </row>
    <row r="11" spans="2:18" s="144" customFormat="1" ht="20.100000000000001" customHeight="1">
      <c r="B11" s="376" t="s">
        <v>364</v>
      </c>
      <c r="C11" s="377">
        <f>SUM(C12:C14)</f>
        <v/>
      </c>
      <c r="D11" s="377">
        <f t="shared" ref="D11:G11" si="0">SUM(D12:D14)</f>
        <v/>
      </c>
      <c r="E11" s="377">
        <f t="shared" si="0"/>
        <v/>
      </c>
      <c r="F11" s="377">
        <f t="shared" si="0"/>
        <v/>
      </c>
      <c r="G11" s="377">
        <f t="shared" si="0"/>
        <v/>
      </c>
    </row>
    <row r="12" spans="2:18" s="144" customFormat="1" ht="20.100000000000001" customHeight="1">
      <c r="B12" s="376" t="s">
        <v>365</v>
      </c>
      <c r="C12" s="378"/>
      <c r="D12" s="377"/>
      <c r="E12" s="377"/>
      <c r="F12" s="377"/>
      <c r="G12" s="379"/>
    </row>
    <row r="13" spans="2:18" s="144" customFormat="1" ht="20.100000000000001" customHeight="1">
      <c r="B13" s="376" t="s">
        <v>366</v>
      </c>
      <c r="C13" s="377"/>
      <c r="D13" s="377"/>
      <c r="E13" s="377"/>
      <c r="F13" s="377"/>
      <c r="G13" s="379"/>
    </row>
    <row r="14" spans="2:18" s="144" customFormat="1" ht="20.100000000000001" customHeight="1">
      <c r="B14" s="376" t="s">
        <v>367</v>
      </c>
      <c r="C14" s="377">
        <f>0</f>
        <v/>
      </c>
      <c r="D14" s="377">
        <f>0</f>
        <v/>
      </c>
      <c r="E14" s="377">
        <f>0</f>
        <v/>
      </c>
      <c r="F14" s="377">
        <f>0</f>
        <v/>
      </c>
      <c r="G14" s="379">
        <f>0</f>
        <v/>
      </c>
    </row>
    <row r="15" spans="2:18" s="144" customFormat="1" ht="20.100000000000001" customHeight="1">
      <c r="B15" s="99" t="s">
        <v>368</v>
      </c>
      <c r="C15" s="233">
        <f>C10-C11</f>
        <v/>
      </c>
      <c r="D15" s="233">
        <f>D10-D11</f>
        <v/>
      </c>
      <c r="E15" s="233">
        <f>E10-E11</f>
        <v/>
      </c>
      <c r="F15" s="233">
        <f>F10-F11</f>
        <v/>
      </c>
      <c r="G15" s="234">
        <f>G10-G11</f>
        <v/>
      </c>
    </row>
    <row r="16" spans="2:18" s="144" customFormat="1" ht="20.100000000000001" customHeight="1">
      <c r="B16" s="99" t="s">
        <v>369</v>
      </c>
      <c r="C16" s="233">
        <f>0</f>
        <v/>
      </c>
      <c r="D16" s="233">
        <f>0</f>
        <v/>
      </c>
      <c r="E16" s="233">
        <f>0</f>
        <v/>
      </c>
      <c r="F16" s="233">
        <f>0</f>
        <v/>
      </c>
      <c r="G16" s="234">
        <f>0</f>
        <v/>
      </c>
      <c r="I16" s="235"/>
      <c r="J16" s="235"/>
      <c r="K16" s="235"/>
      <c r="L16" s="235"/>
      <c r="M16" s="235"/>
      <c r="N16" s="235"/>
      <c r="O16" s="235"/>
      <c r="P16" s="235"/>
      <c r="Q16" s="235"/>
      <c r="R16" s="235"/>
    </row>
    <row r="17" spans="2:18" s="144" customFormat="1" ht="20.100000000000001" customHeight="1">
      <c r="B17" s="99" t="s">
        <v>370</v>
      </c>
      <c r="C17" s="233">
        <f>0</f>
        <v/>
      </c>
      <c r="D17" s="233">
        <f>0</f>
        <v/>
      </c>
      <c r="E17" s="233">
        <f>0</f>
        <v/>
      </c>
      <c r="F17" s="233">
        <f>0</f>
        <v/>
      </c>
      <c r="G17" s="234">
        <f>0</f>
        <v/>
      </c>
      <c r="I17" s="235"/>
      <c r="J17" s="235"/>
      <c r="K17" s="235"/>
      <c r="L17" s="235"/>
      <c r="M17" s="235"/>
      <c r="N17" s="235"/>
      <c r="O17" s="235"/>
      <c r="P17" s="235"/>
      <c r="Q17" s="235"/>
      <c r="R17" s="235"/>
    </row>
    <row r="18" spans="2:18" s="144" customFormat="1" ht="20.100000000000001" customHeight="1">
      <c r="B18" s="99" t="s">
        <v>371</v>
      </c>
      <c r="C18" s="233">
        <f>0</f>
        <v/>
      </c>
      <c r="D18" s="233">
        <f>0</f>
        <v/>
      </c>
      <c r="E18" s="233">
        <f>0</f>
        <v/>
      </c>
      <c r="F18" s="233">
        <f>0</f>
        <v/>
      </c>
      <c r="G18" s="234">
        <f>0</f>
        <v/>
      </c>
      <c r="I18" s="235"/>
      <c r="J18" s="235"/>
      <c r="K18" s="235"/>
      <c r="L18" s="235"/>
      <c r="M18" s="235"/>
      <c r="N18" s="235"/>
      <c r="O18" s="235"/>
      <c r="P18" s="235"/>
      <c r="Q18" s="235"/>
      <c r="R18" s="235"/>
    </row>
    <row r="19" spans="2:18" s="144" customFormat="1" ht="20.100000000000001" customHeight="1">
      <c r="B19" s="99" t="s">
        <v>372</v>
      </c>
      <c r="C19" s="233">
        <f>0</f>
        <v/>
      </c>
      <c r="D19" s="233">
        <f>0</f>
        <v/>
      </c>
      <c r="E19" s="233">
        <f>0</f>
        <v/>
      </c>
      <c r="F19" s="233">
        <f>0</f>
        <v/>
      </c>
      <c r="G19" s="234">
        <f>0</f>
        <v/>
      </c>
      <c r="I19" s="235"/>
      <c r="J19" s="235"/>
      <c r="K19" s="235"/>
      <c r="L19" s="235"/>
      <c r="M19" s="235"/>
      <c r="N19" s="235"/>
      <c r="O19" s="235"/>
      <c r="P19" s="235"/>
      <c r="Q19" s="235"/>
      <c r="R19" s="235"/>
    </row>
    <row r="20" spans="2:18" s="144" customFormat="1" ht="20.100000000000001" customHeight="1">
      <c r="B20" s="99" t="s">
        <v>373</v>
      </c>
      <c r="C20" s="233">
        <f>SUM(C21:C22)</f>
        <v/>
      </c>
      <c r="D20" s="233">
        <f>SUM(D21:D22)</f>
        <v/>
      </c>
      <c r="E20" s="233">
        <f>SUM(E21:E22)</f>
        <v/>
      </c>
      <c r="F20" s="233">
        <f>SUM(F21:F22)</f>
        <v/>
      </c>
      <c r="G20" s="234">
        <f>SUM(G21:G22)</f>
        <v/>
      </c>
      <c r="I20" s="235"/>
      <c r="J20" s="235"/>
      <c r="K20" s="236"/>
      <c r="L20" s="236"/>
      <c r="M20" s="236"/>
      <c r="N20" s="236"/>
      <c r="O20" s="236"/>
      <c r="P20" s="236"/>
      <c r="Q20" s="236"/>
      <c r="R20" s="236"/>
    </row>
    <row r="21" spans="2:18" s="144" customFormat="1" ht="20.100000000000001" customHeight="1">
      <c r="B21" s="99" t="s">
        <v>374</v>
      </c>
      <c r="C21" s="233">
        <f>'4. 원리금상환계획'!$E8</f>
        <v/>
      </c>
      <c r="D21" s="233">
        <f>'4. 원리금상환계획'!$E9</f>
        <v/>
      </c>
      <c r="E21" s="233">
        <f>'4. 원리금상환계획'!$E10</f>
        <v/>
      </c>
      <c r="F21" s="233">
        <f>'4. 원리금상환계획'!$E11</f>
        <v/>
      </c>
      <c r="G21" s="234">
        <f>'4. 원리금상환계획'!$E12</f>
        <v/>
      </c>
      <c r="I21" s="235"/>
      <c r="J21" s="235"/>
      <c r="K21" s="235"/>
      <c r="L21" s="235"/>
      <c r="M21" s="235"/>
      <c r="N21" s="235"/>
      <c r="O21" s="235"/>
      <c r="P21" s="235"/>
      <c r="Q21" s="235"/>
      <c r="R21" s="235"/>
    </row>
    <row r="22" spans="2:18" s="144" customFormat="1" ht="20.100000000000001" customHeight="1">
      <c r="B22" s="99" t="s">
        <v>375</v>
      </c>
      <c r="C22" s="233">
        <f>0</f>
        <v/>
      </c>
      <c r="D22" s="233">
        <f>0</f>
        <v/>
      </c>
      <c r="E22" s="233">
        <f>0</f>
        <v/>
      </c>
      <c r="F22" s="233">
        <f>0</f>
        <v/>
      </c>
      <c r="G22" s="234">
        <f>0</f>
        <v/>
      </c>
      <c r="I22" s="235"/>
      <c r="J22" s="235"/>
      <c r="K22" s="235"/>
      <c r="L22" s="235"/>
      <c r="M22" s="235"/>
      <c r="N22" s="235"/>
      <c r="O22" s="235"/>
      <c r="P22" s="235"/>
      <c r="Q22" s="235"/>
      <c r="R22" s="235"/>
    </row>
    <row r="23" spans="2:18" s="144" customFormat="1" ht="20.100000000000001" customHeight="1">
      <c r="B23" s="99" t="s">
        <v>376</v>
      </c>
      <c r="C23" s="233">
        <f>C15+C16-C20</f>
        <v/>
      </c>
      <c r="D23" s="233">
        <f>D15+D16-D20</f>
        <v/>
      </c>
      <c r="E23" s="233">
        <f>E15+E16-E20</f>
        <v/>
      </c>
      <c r="F23" s="233">
        <f>F15+F16-F20</f>
        <v/>
      </c>
      <c r="G23" s="234">
        <f>G15+G16-G20</f>
        <v/>
      </c>
      <c r="I23" s="235"/>
      <c r="J23" s="235"/>
      <c r="K23" s="235"/>
      <c r="L23" s="235"/>
      <c r="M23" s="235"/>
      <c r="N23" s="235"/>
      <c r="O23" s="235"/>
      <c r="P23" s="235"/>
      <c r="Q23" s="235"/>
      <c r="R23" s="235"/>
    </row>
    <row r="24" spans="2:18" s="144" customFormat="1" ht="20.100000000000001" customHeight="1">
      <c r="B24" s="100" t="s">
        <v>377</v>
      </c>
      <c r="C24" s="233"/>
      <c r="D24" s="233"/>
      <c r="E24" s="233"/>
      <c r="F24" s="233"/>
      <c r="G24" s="234"/>
      <c r="I24" s="235"/>
      <c r="J24" s="235"/>
      <c r="K24" s="235"/>
      <c r="L24" s="235"/>
      <c r="M24" s="235"/>
      <c r="N24" s="235"/>
      <c r="O24" s="235"/>
      <c r="P24" s="235"/>
      <c r="Q24" s="235"/>
      <c r="R24" s="235"/>
    </row>
    <row r="25" spans="2:18" s="144" customFormat="1" ht="20.100000000000001" customHeight="1">
      <c r="B25" s="99" t="s">
        <v>378</v>
      </c>
      <c r="C25" s="233">
        <f>0</f>
        <v/>
      </c>
      <c r="D25" s="233">
        <f>0</f>
        <v/>
      </c>
      <c r="E25" s="233">
        <f>0</f>
        <v/>
      </c>
      <c r="F25" s="233">
        <f>0</f>
        <v/>
      </c>
      <c r="G25" s="234">
        <f>0</f>
        <v/>
      </c>
      <c r="I25" s="235"/>
      <c r="J25" s="235"/>
      <c r="K25" s="235"/>
      <c r="L25" s="235"/>
      <c r="M25" s="235"/>
      <c r="N25" s="235"/>
      <c r="O25" s="235"/>
      <c r="P25" s="235"/>
      <c r="Q25" s="235"/>
      <c r="R25" s="235"/>
    </row>
    <row r="26" spans="2:18" s="144" customFormat="1" ht="20.100000000000001" customHeight="1" thickBot="1">
      <c r="B26" s="101" t="s">
        <v>379</v>
      </c>
      <c r="C26" s="237">
        <f>C23-C25</f>
        <v/>
      </c>
      <c r="D26" s="237">
        <f>D23-D25</f>
        <v/>
      </c>
      <c r="E26" s="237">
        <f>E23-E25</f>
        <v/>
      </c>
      <c r="F26" s="237">
        <f>F23-F25</f>
        <v/>
      </c>
      <c r="G26" s="238">
        <f>G23-G25</f>
        <v/>
      </c>
      <c r="I26" s="235"/>
      <c r="J26" s="235"/>
      <c r="K26" s="235"/>
      <c r="L26" s="235"/>
      <c r="M26" s="235"/>
      <c r="N26" s="235"/>
      <c r="O26" s="235"/>
      <c r="P26" s="235"/>
      <c r="Q26" s="235"/>
      <c r="R26" s="235"/>
    </row>
    <row r="27" spans="2:18" ht="15" customHeight="1">
      <c r="B27" s="156"/>
      <c r="C27" s="156"/>
      <c r="D27" s="156"/>
      <c r="E27" s="156"/>
      <c r="F27" s="156"/>
      <c r="J27" s="115"/>
      <c r="K27" s="115"/>
      <c r="L27" s="115"/>
      <c r="M27" s="115"/>
      <c r="N27" s="115"/>
      <c r="O27" s="115"/>
      <c r="P27" s="115"/>
      <c r="Q27" s="115"/>
      <c r="R27" s="115"/>
    </row>
    <row r="28" spans="2:18" ht="14.25" thickBot="1">
      <c r="B28" s="156"/>
      <c r="C28" s="156"/>
      <c r="D28" s="156"/>
      <c r="E28" s="156"/>
      <c r="F28" s="156"/>
      <c r="J28" s="115"/>
      <c r="K28" s="115"/>
      <c r="L28" s="115"/>
      <c r="M28" s="115"/>
      <c r="N28" s="115"/>
      <c r="O28" s="115"/>
      <c r="P28" s="115"/>
      <c r="Q28" s="115"/>
      <c r="R28" s="115"/>
    </row>
    <row r="29" spans="2:18">
      <c r="B29" s="806" t="s">
        <v>380</v>
      </c>
      <c r="C29" s="807"/>
      <c r="D29" s="807"/>
      <c r="E29" s="807"/>
      <c r="F29" s="807"/>
      <c r="G29" s="808"/>
      <c r="J29" s="115"/>
      <c r="K29" s="115"/>
      <c r="L29" s="115"/>
      <c r="M29" s="115"/>
      <c r="N29" s="115"/>
      <c r="O29" s="115"/>
      <c r="P29" s="115"/>
      <c r="Q29" s="115"/>
      <c r="R29" s="115"/>
    </row>
    <row r="30" spans="2:18">
      <c r="B30" s="809" t="s">
        <v>381</v>
      </c>
      <c r="C30" s="810"/>
      <c r="D30" s="810"/>
      <c r="E30" s="811"/>
      <c r="F30" s="811"/>
      <c r="G30" s="812"/>
      <c r="J30" s="115"/>
      <c r="K30" s="115"/>
      <c r="L30" s="115"/>
      <c r="M30" s="115"/>
      <c r="N30" s="115"/>
      <c r="O30" s="115"/>
      <c r="P30" s="115"/>
      <c r="Q30" s="115"/>
      <c r="R30" s="115"/>
    </row>
    <row r="31" spans="2:18" ht="15" customHeight="1">
      <c r="B31" s="813" t="s">
        <v>382</v>
      </c>
      <c r="C31" s="814"/>
      <c r="D31" s="815"/>
      <c r="E31" s="816">
        <f>E30</f>
        <v/>
      </c>
      <c r="F31" s="817"/>
      <c r="G31" s="818"/>
      <c r="J31" s="115"/>
      <c r="K31" s="115"/>
      <c r="L31" s="115"/>
      <c r="M31" s="115"/>
      <c r="N31" s="115"/>
      <c r="O31" s="115"/>
      <c r="P31" s="115"/>
      <c r="Q31" s="115"/>
      <c r="R31" s="115"/>
    </row>
    <row r="32" spans="2:18" ht="20.100000000000001" customHeight="1">
      <c r="B32" s="819" t="s">
        <v>383</v>
      </c>
      <c r="C32" s="820"/>
      <c r="D32" s="820"/>
      <c r="E32" s="821"/>
      <c r="F32" s="821"/>
      <c r="G32" s="822"/>
      <c r="I32" s="115"/>
      <c r="J32" s="115"/>
      <c r="K32" s="115"/>
      <c r="L32" s="115"/>
      <c r="M32" s="115"/>
      <c r="N32" s="115"/>
      <c r="O32" s="115"/>
      <c r="P32" s="115"/>
      <c r="Q32" s="115"/>
      <c r="R32" s="115"/>
    </row>
    <row r="33" spans="2:18" ht="15" customHeight="1" thickBot="1">
      <c r="B33" s="823" t="s">
        <v>384</v>
      </c>
      <c r="C33" s="824"/>
      <c r="D33" s="824"/>
      <c r="E33" s="825"/>
      <c r="F33" s="825"/>
      <c r="G33" s="826"/>
      <c r="I33" s="115"/>
      <c r="J33" s="115"/>
      <c r="K33" s="115"/>
      <c r="L33" s="115"/>
      <c r="M33" s="115"/>
      <c r="N33" s="115"/>
      <c r="O33" s="115"/>
      <c r="P33" s="115"/>
      <c r="Q33" s="115"/>
      <c r="R33" s="115"/>
    </row>
    <row r="34" spans="2:18" ht="14.25" thickBot="1">
      <c r="B34" s="365"/>
      <c r="C34" s="366"/>
      <c r="D34" s="366"/>
      <c r="E34" s="367"/>
      <c r="F34" s="367"/>
      <c r="G34" s="367"/>
      <c r="I34" s="115"/>
      <c r="J34" s="115"/>
      <c r="K34" s="115"/>
      <c r="L34" s="115"/>
      <c r="M34" s="115"/>
      <c r="N34" s="115"/>
      <c r="O34" s="115"/>
      <c r="P34" s="115"/>
      <c r="Q34" s="115"/>
      <c r="R34" s="115"/>
    </row>
    <row r="35" spans="2:18">
      <c r="B35" s="368" t="s">
        <v>385</v>
      </c>
      <c r="C35" s="369"/>
      <c r="D35" s="369"/>
      <c r="E35" s="369"/>
      <c r="F35" s="369"/>
      <c r="G35" s="369"/>
      <c r="I35" s="115"/>
      <c r="J35" s="115"/>
      <c r="K35" s="115"/>
      <c r="L35" s="115"/>
      <c r="M35" s="115"/>
      <c r="N35" s="115"/>
      <c r="O35" s="115"/>
      <c r="P35" s="115"/>
      <c r="Q35" s="115"/>
      <c r="R35" s="115"/>
    </row>
    <row r="36" spans="2:18">
      <c r="B36" s="370" t="s">
        <v>386</v>
      </c>
      <c r="C36" s="371">
        <f>C35/10</f>
        <v/>
      </c>
      <c r="D36" s="371">
        <f>D35/10</f>
        <v/>
      </c>
      <c r="E36" s="371">
        <f>E35/10</f>
        <v/>
      </c>
      <c r="F36" s="371">
        <f>F35/10</f>
        <v/>
      </c>
      <c r="G36" s="371">
        <f t="shared" ref="G36" si="1">G35/10</f>
        <v/>
      </c>
      <c r="I36" s="115"/>
      <c r="J36" s="115"/>
      <c r="K36" s="115"/>
      <c r="L36" s="115"/>
      <c r="M36" s="115"/>
      <c r="N36" s="115"/>
      <c r="O36" s="115"/>
      <c r="P36" s="115"/>
      <c r="Q36" s="115"/>
      <c r="R36" s="115"/>
    </row>
    <row r="37" spans="2:18" ht="14.25" thickBot="1">
      <c r="B37" s="372" t="s">
        <v>387</v>
      </c>
      <c r="C37" s="373">
        <f>C35/10</f>
        <v/>
      </c>
      <c r="D37" s="373">
        <f t="shared" ref="D37:G37" si="2">D35/10</f>
        <v/>
      </c>
      <c r="E37" s="373">
        <f t="shared" si="2"/>
        <v/>
      </c>
      <c r="F37" s="373">
        <f t="shared" si="2"/>
        <v/>
      </c>
      <c r="G37" s="373">
        <f t="shared" si="2"/>
        <v/>
      </c>
      <c r="I37" s="115"/>
      <c r="J37" s="115"/>
      <c r="K37" s="115"/>
      <c r="L37" s="115"/>
      <c r="M37" s="115"/>
      <c r="N37" s="115"/>
      <c r="O37" s="115"/>
      <c r="P37" s="115"/>
      <c r="Q37" s="115"/>
      <c r="R37" s="115"/>
    </row>
    <row r="38" spans="2:18" ht="15" customHeight="1">
      <c r="B38" s="374"/>
      <c r="C38" s="374"/>
      <c r="D38" s="374"/>
      <c r="E38" s="374"/>
      <c r="F38" s="374"/>
      <c r="G38" s="374"/>
      <c r="I38" s="115"/>
      <c r="J38" s="115"/>
      <c r="K38" s="115"/>
      <c r="L38" s="115"/>
      <c r="M38" s="115"/>
      <c r="N38" s="115"/>
      <c r="O38" s="115"/>
      <c r="P38" s="115"/>
      <c r="Q38" s="115"/>
      <c r="R38" s="115"/>
    </row>
    <row r="39" spans="2:18" ht="20.100000000000001" customHeight="1">
      <c r="B39" s="375"/>
      <c r="C39" s="374"/>
      <c r="D39" s="374"/>
      <c r="E39" s="374"/>
      <c r="F39" s="374"/>
      <c r="G39" s="374"/>
      <c r="I39" s="115"/>
      <c r="J39" s="115"/>
      <c r="K39" s="115"/>
      <c r="L39" s="115"/>
      <c r="M39" s="115"/>
      <c r="N39" s="115"/>
      <c r="O39" s="115"/>
      <c r="P39" s="115"/>
      <c r="Q39" s="115"/>
      <c r="R39" s="115"/>
    </row>
    <row r="40" spans="2:18" ht="15" customHeight="1">
      <c r="I40" s="115"/>
      <c r="J40" s="115"/>
      <c r="K40" s="115"/>
      <c r="L40" s="115"/>
      <c r="M40" s="115"/>
      <c r="N40" s="115"/>
      <c r="O40" s="115"/>
      <c r="P40" s="115"/>
      <c r="Q40" s="115"/>
      <c r="R40" s="115"/>
    </row>
    <row r="41" spans="2:18">
      <c r="I41" s="115"/>
      <c r="J41" s="115"/>
      <c r="K41" s="115"/>
      <c r="L41" s="115"/>
      <c r="M41" s="115"/>
      <c r="N41" s="115"/>
      <c r="O41" s="115"/>
      <c r="P41" s="115"/>
      <c r="Q41" s="115"/>
      <c r="R41" s="115"/>
    </row>
    <row r="42" spans="2:18">
      <c r="I42" s="115"/>
      <c r="J42" s="115"/>
      <c r="K42" s="115"/>
      <c r="L42" s="115"/>
      <c r="M42" s="115"/>
      <c r="N42" s="115"/>
      <c r="O42" s="115"/>
      <c r="P42" s="115"/>
      <c r="Q42" s="115"/>
      <c r="R42" s="115"/>
    </row>
    <row r="43" spans="2:18">
      <c r="I43" s="115"/>
      <c r="J43" s="115"/>
      <c r="K43" s="115"/>
      <c r="L43" s="115"/>
      <c r="M43" s="115"/>
      <c r="N43" s="115"/>
      <c r="O43" s="115"/>
      <c r="P43" s="115"/>
      <c r="Q43" s="115"/>
      <c r="R43" s="115"/>
    </row>
    <row r="44" spans="2:18" ht="15" customHeight="1">
      <c r="I44" s="115"/>
      <c r="J44" s="115"/>
      <c r="K44" s="115"/>
      <c r="L44" s="115"/>
      <c r="M44" s="115"/>
      <c r="N44" s="115"/>
      <c r="O44" s="115"/>
      <c r="P44" s="115"/>
      <c r="Q44" s="115"/>
      <c r="R44" s="115"/>
    </row>
    <row r="45" spans="2:18" ht="20.100000000000001" customHeight="1">
      <c r="I45" s="115"/>
      <c r="J45" s="115"/>
      <c r="K45" s="115"/>
      <c r="L45" s="115"/>
      <c r="M45" s="115"/>
      <c r="N45" s="115"/>
      <c r="O45" s="115"/>
      <c r="P45" s="115"/>
      <c r="Q45" s="115"/>
      <c r="R45" s="115"/>
    </row>
    <row r="46" spans="2:18" ht="15" customHeight="1">
      <c r="I46" s="805"/>
      <c r="J46" s="805"/>
      <c r="K46" s="805"/>
      <c r="L46" s="115"/>
      <c r="M46" s="115"/>
      <c r="N46" s="115"/>
      <c r="O46" s="115"/>
      <c r="P46" s="115"/>
      <c r="Q46" s="115"/>
      <c r="R46" s="115"/>
    </row>
    <row r="50" ht="15" customHeight="1"/>
    <row r="51" ht="20.100000000000001" customHeight="1"/>
    <row r="52" ht="15" customHeight="1"/>
  </sheetData>
  <mergeCells count="12">
    <mergeCell ref="B4:B5"/>
    <mergeCell ref="B2:C2"/>
    <mergeCell ref="I46:K46"/>
    <mergeCell ref="B29:G29"/>
    <mergeCell ref="B30:D30"/>
    <mergeCell ref="E30:G30"/>
    <mergeCell ref="B31:D31"/>
    <mergeCell ref="E31:G31"/>
    <mergeCell ref="B32:D32"/>
    <mergeCell ref="E32:G32"/>
    <mergeCell ref="B33:D33"/>
    <mergeCell ref="E33:G33"/>
  </mergeCells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C15:G15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B1:O56"/>
  <sheetViews>
    <sheetView showGridLines="0" zoomScale="130" zoomScaleNormal="130" zoomScaleSheetLayoutView="115" workbookViewId="0">
      <selection activeCell="C6" sqref="C6"/>
    </sheetView>
  </sheetViews>
  <sheetFormatPr defaultColWidth="8.88671875" defaultRowHeight="13.5"/>
  <cols>
    <col min="1" max="1" width="5.5546875" style="34" customWidth="1"/>
    <col min="2" max="2" width="14.109375" style="34" customWidth="1"/>
    <col min="3" max="8" width="10.109375" style="34" customWidth="1"/>
    <col min="9" max="16384" width="8.88671875" style="34"/>
  </cols>
  <sheetData>
    <row r="1" spans="2:8" ht="15" customHeight="1"/>
    <row r="2" spans="2:8" ht="24.95" customHeight="1">
      <c r="B2" s="446" t="s">
        <v>388</v>
      </c>
      <c r="C2" s="447"/>
      <c r="D2" s="447"/>
    </row>
    <row r="3" spans="2:8" ht="15" customHeight="1">
      <c r="B3" s="170"/>
      <c r="C3" s="171"/>
      <c r="D3" s="171"/>
    </row>
    <row r="4" spans="2:8" ht="15" customHeight="1" thickBot="1">
      <c r="H4" s="4" t="s">
        <v>389</v>
      </c>
    </row>
    <row r="5" spans="2:8" ht="15" customHeight="1">
      <c r="B5" s="827" t="s">
        <v>390</v>
      </c>
      <c r="C5" s="111"/>
      <c r="D5" s="271"/>
      <c r="E5" s="271"/>
      <c r="F5" s="271"/>
      <c r="G5" s="271"/>
      <c r="H5" s="271"/>
    </row>
    <row r="6" spans="2:8" ht="15" customHeight="1">
      <c r="B6" s="828"/>
      <c r="C6" s="112" t="s">
        <v>391</v>
      </c>
      <c r="D6" s="112" t="s">
        <v>392</v>
      </c>
      <c r="E6" s="112" t="s">
        <v>392</v>
      </c>
      <c r="F6" s="112" t="s">
        <v>392</v>
      </c>
      <c r="G6" s="112" t="s">
        <v>392</v>
      </c>
      <c r="H6" s="113" t="s">
        <v>392</v>
      </c>
    </row>
    <row r="7" spans="2:8" ht="15" customHeight="1">
      <c r="B7" s="347" t="s">
        <v>393</v>
      </c>
      <c r="C7" s="50"/>
      <c r="D7" s="50"/>
      <c r="E7" s="50"/>
      <c r="F7" s="50"/>
      <c r="G7" s="50"/>
      <c r="H7" s="51"/>
    </row>
    <row r="8" spans="2:8" ht="15" customHeight="1">
      <c r="B8" s="102" t="s">
        <v>394</v>
      </c>
      <c r="C8" s="50">
        <f>SUM(C9:C14)</f>
        <v/>
      </c>
      <c r="D8" s="50">
        <f>SUM(D9:D10)</f>
        <v/>
      </c>
      <c r="E8" s="50">
        <f>SUM(E9:E10)</f>
        <v/>
      </c>
      <c r="F8" s="50">
        <f>SUM(F9:F10)</f>
        <v/>
      </c>
      <c r="G8" s="50">
        <f>SUM(G9:G10)</f>
        <v/>
      </c>
      <c r="H8" s="51">
        <f>SUM(H9:H10)</f>
        <v/>
      </c>
    </row>
    <row r="9" spans="2:8" ht="15" customHeight="1">
      <c r="B9" s="102" t="s">
        <v>395</v>
      </c>
      <c r="C9" s="50">
        <f>'1. 기초재무상태조사'!E39</f>
        <v/>
      </c>
      <c r="D9" s="50">
        <f>'14. 현금흐름계획'!D23</f>
        <v/>
      </c>
      <c r="E9" s="50">
        <f>'14. 현금흐름계획'!E23</f>
        <v/>
      </c>
      <c r="F9" s="50">
        <f>'14. 현금흐름계획'!F23</f>
        <v/>
      </c>
      <c r="G9" s="50">
        <f>'14. 현금흐름계획'!G23</f>
        <v/>
      </c>
      <c r="H9" s="51">
        <f>'14. 현금흐름계획'!H23</f>
        <v/>
      </c>
    </row>
    <row r="10" spans="2:8" ht="15" customHeight="1">
      <c r="B10" s="102" t="s">
        <v>396</v>
      </c>
      <c r="C10" s="50">
        <f>0</f>
        <v/>
      </c>
      <c r="D10" s="50">
        <f>SUM(D11:D14)</f>
        <v/>
      </c>
      <c r="E10" s="50">
        <f>SUM(E11:E14)</f>
        <v/>
      </c>
      <c r="F10" s="50">
        <f>SUM(F11:F14)</f>
        <v/>
      </c>
      <c r="G10" s="50">
        <f>SUM(G11:G14)</f>
        <v/>
      </c>
      <c r="H10" s="51">
        <f>SUM(H11:H14)</f>
        <v/>
      </c>
    </row>
    <row r="11" spans="2:8" ht="15" customHeight="1">
      <c r="B11" s="102" t="s">
        <v>397</v>
      </c>
      <c r="C11" s="50">
        <f>0</f>
        <v/>
      </c>
      <c r="D11" s="50">
        <f>0</f>
        <v/>
      </c>
      <c r="E11" s="50">
        <f>0</f>
        <v/>
      </c>
      <c r="F11" s="50">
        <f>0</f>
        <v/>
      </c>
      <c r="G11" s="50">
        <f>0</f>
        <v/>
      </c>
      <c r="H11" s="51">
        <f>0</f>
        <v/>
      </c>
    </row>
    <row r="12" spans="2:8" ht="15" customHeight="1">
      <c r="B12" s="102" t="s">
        <v>398</v>
      </c>
      <c r="C12" s="50">
        <f>0</f>
        <v/>
      </c>
      <c r="D12" s="50">
        <f>'11. 생산원가계획'!C33</f>
        <v/>
      </c>
      <c r="E12" s="50">
        <f>'11. 생산원가계획'!D33</f>
        <v/>
      </c>
      <c r="F12" s="50">
        <f>'11. 생산원가계획'!E33</f>
        <v/>
      </c>
      <c r="G12" s="50">
        <f>'11. 생산원가계획'!F33</f>
        <v/>
      </c>
      <c r="H12" s="51">
        <f>'11. 생산원가계획'!G33</f>
        <v/>
      </c>
    </row>
    <row r="13" spans="2:8" ht="15" customHeight="1">
      <c r="B13" s="102" t="s">
        <v>399</v>
      </c>
      <c r="C13" s="50">
        <f>0</f>
        <v/>
      </c>
      <c r="D13" s="50">
        <f>0</f>
        <v/>
      </c>
      <c r="E13" s="50">
        <f>0</f>
        <v/>
      </c>
      <c r="F13" s="50">
        <f>0</f>
        <v/>
      </c>
      <c r="G13" s="50">
        <f>0</f>
        <v/>
      </c>
      <c r="H13" s="51">
        <f>0</f>
        <v/>
      </c>
    </row>
    <row r="14" spans="2:8" ht="15" customHeight="1">
      <c r="B14" s="102" t="s">
        <v>400</v>
      </c>
      <c r="C14" s="50">
        <f>0</f>
        <v/>
      </c>
      <c r="D14" s="50">
        <f>0</f>
        <v/>
      </c>
      <c r="E14" s="50">
        <f>0</f>
        <v/>
      </c>
      <c r="F14" s="50">
        <f>0</f>
        <v/>
      </c>
      <c r="G14" s="50">
        <f>0</f>
        <v/>
      </c>
      <c r="H14" s="51">
        <f>0</f>
        <v/>
      </c>
    </row>
    <row r="15" spans="2:8" ht="15" customHeight="1">
      <c r="B15" s="102" t="s">
        <v>401</v>
      </c>
      <c r="C15" s="50">
        <f t="shared" ref="C15:H15" si="0">SUM(C16,C17,C20,C21)</f>
        <v/>
      </c>
      <c r="D15" s="50">
        <f t="shared" si="0"/>
        <v/>
      </c>
      <c r="E15" s="50">
        <f t="shared" si="0"/>
        <v/>
      </c>
      <c r="F15" s="50">
        <f t="shared" si="0"/>
        <v/>
      </c>
      <c r="G15" s="50">
        <f t="shared" si="0"/>
        <v/>
      </c>
      <c r="H15" s="51">
        <f t="shared" si="0"/>
        <v/>
      </c>
    </row>
    <row r="16" spans="2:8" ht="15" customHeight="1">
      <c r="B16" s="102" t="s">
        <v>402</v>
      </c>
      <c r="C16" s="50">
        <f>'1. 기초재무상태조사'!E9</f>
        <v/>
      </c>
      <c r="D16" s="50">
        <f>C16</f>
        <v/>
      </c>
      <c r="E16" s="50">
        <f>D16</f>
        <v/>
      </c>
      <c r="F16" s="50">
        <f>E16</f>
        <v/>
      </c>
      <c r="G16" s="50">
        <f>F16</f>
        <v/>
      </c>
      <c r="H16" s="51">
        <f>G16</f>
        <v/>
      </c>
    </row>
    <row r="17" spans="2:15" ht="15" customHeight="1">
      <c r="B17" s="102" t="s">
        <v>403</v>
      </c>
      <c r="C17" s="50">
        <f>C18+C19</f>
        <v/>
      </c>
      <c r="D17" s="316">
        <f>SUM(D18:D19)</f>
        <v/>
      </c>
      <c r="E17" s="316">
        <f>SUM(E18:E19)</f>
        <v/>
      </c>
      <c r="F17" s="316">
        <f>SUM(F18:F19)</f>
        <v/>
      </c>
      <c r="G17" s="316">
        <f>SUM(G18:G19)</f>
        <v/>
      </c>
      <c r="H17" s="124">
        <f>SUM(H18:H19)</f>
        <v/>
      </c>
    </row>
    <row r="18" spans="2:15" ht="15" customHeight="1">
      <c r="B18" s="143" t="s">
        <v>404</v>
      </c>
      <c r="C18" s="316">
        <f>0</f>
        <v/>
      </c>
      <c r="D18" s="50">
        <f>'10. 감가상각비계획 '!I14</f>
        <v/>
      </c>
      <c r="E18" s="316">
        <f>'10. 감가상각비계획 '!I26</f>
        <v/>
      </c>
      <c r="F18" s="316">
        <f>'10. 감가상각비계획 '!I38</f>
        <v/>
      </c>
      <c r="G18" s="316">
        <f>'10. 감가상각비계획 '!I50</f>
        <v/>
      </c>
      <c r="H18" s="124">
        <f>'10. 감가상각비계획 '!I62</f>
        <v/>
      </c>
    </row>
    <row r="19" spans="2:15" ht="15" customHeight="1">
      <c r="B19" s="143" t="s">
        <v>405</v>
      </c>
      <c r="C19" s="316">
        <f>0</f>
        <v/>
      </c>
      <c r="D19" s="316">
        <f>'10. 감가상각비계획 '!G14</f>
        <v/>
      </c>
      <c r="E19" s="316">
        <f>'10. 감가상각비계획 '!G26</f>
        <v/>
      </c>
      <c r="F19" s="316">
        <f>'10. 감가상각비계획 '!G38</f>
        <v/>
      </c>
      <c r="G19" s="316">
        <f>'10. 감가상각비계획 '!G50</f>
        <v/>
      </c>
      <c r="H19" s="124">
        <f>'10. 감가상각비계획 '!G62</f>
        <v/>
      </c>
    </row>
    <row r="20" spans="2:15" ht="15" customHeight="1">
      <c r="B20" s="102" t="s">
        <v>406</v>
      </c>
      <c r="C20" s="50">
        <f>0</f>
        <v/>
      </c>
      <c r="D20" s="50">
        <f>'10. 감가상각비계획 '!K14</f>
        <v/>
      </c>
      <c r="E20" s="50">
        <f>'10. 감가상각비계획 '!K26</f>
        <v/>
      </c>
      <c r="F20" s="50">
        <f>'10. 감가상각비계획 '!K38</f>
        <v/>
      </c>
      <c r="G20" s="50">
        <f>'10. 감가상각비계획 '!K50</f>
        <v/>
      </c>
      <c r="H20" s="51">
        <f>'10. 감가상각비계획 '!K62</f>
        <v/>
      </c>
    </row>
    <row r="21" spans="2:15" ht="15" customHeight="1">
      <c r="B21" s="102" t="s">
        <v>407</v>
      </c>
      <c r="C21" s="50">
        <f>0</f>
        <v/>
      </c>
      <c r="D21" s="50">
        <f>0</f>
        <v/>
      </c>
      <c r="E21" s="50">
        <f>0</f>
        <v/>
      </c>
      <c r="F21" s="50">
        <f>0</f>
        <v/>
      </c>
      <c r="G21" s="50">
        <f>0</f>
        <v/>
      </c>
      <c r="H21" s="51">
        <f>0</f>
        <v/>
      </c>
    </row>
    <row r="22" spans="2:15" ht="15" customHeight="1">
      <c r="B22" s="103" t="s">
        <v>408</v>
      </c>
      <c r="C22" s="52">
        <f>C8+C15</f>
        <v/>
      </c>
      <c r="D22" s="52">
        <f>D8+D15</f>
        <v/>
      </c>
      <c r="E22" s="52">
        <f>E8+E15</f>
        <v/>
      </c>
      <c r="F22" s="52">
        <f>F8+F15</f>
        <v/>
      </c>
      <c r="G22" s="52">
        <f>G8+G15</f>
        <v/>
      </c>
      <c r="H22" s="146">
        <f>SUM(H8,H15)</f>
        <v/>
      </c>
      <c r="K22" s="125"/>
      <c r="L22" s="125"/>
      <c r="M22" s="125"/>
      <c r="N22" s="125"/>
      <c r="O22" s="125"/>
    </row>
    <row r="23" spans="2:15" ht="15" customHeight="1">
      <c r="B23" s="104" t="s">
        <v>409</v>
      </c>
      <c r="C23" s="50"/>
      <c r="D23" s="50"/>
      <c r="E23" s="50"/>
      <c r="F23" s="50"/>
      <c r="G23" s="50"/>
      <c r="H23" s="51"/>
    </row>
    <row r="24" spans="2:15" ht="15" customHeight="1">
      <c r="B24" s="102" t="s">
        <v>410</v>
      </c>
      <c r="C24" s="50">
        <f>0</f>
        <v/>
      </c>
      <c r="D24" s="50">
        <f>0</f>
        <v/>
      </c>
      <c r="E24" s="50">
        <f>0</f>
        <v/>
      </c>
      <c r="F24" s="50">
        <f>0</f>
        <v/>
      </c>
      <c r="G24" s="50">
        <f>0</f>
        <v/>
      </c>
      <c r="H24" s="51">
        <f>0</f>
        <v/>
      </c>
    </row>
    <row r="25" spans="2:15" ht="15" customHeight="1">
      <c r="B25" s="102" t="s">
        <v>411</v>
      </c>
      <c r="C25" s="50">
        <f>'1. 기초재무상태조사'!E58</f>
        <v/>
      </c>
      <c r="D25" s="50">
        <f>'4. 원리금상환계획'!F8</f>
        <v/>
      </c>
      <c r="E25" s="50">
        <f>'4. 원리금상환계획'!F9</f>
        <v/>
      </c>
      <c r="F25" s="50">
        <f>'4. 원리금상환계획'!F10</f>
        <v/>
      </c>
      <c r="G25" s="50">
        <f>'4. 원리금상환계획'!F11</f>
        <v/>
      </c>
      <c r="H25" s="51">
        <f>'4. 원리금상환계획'!F12</f>
        <v/>
      </c>
      <c r="N25" s="125"/>
    </row>
    <row r="26" spans="2:15" ht="15" customHeight="1">
      <c r="B26" s="104" t="s">
        <v>412</v>
      </c>
      <c r="C26" s="50">
        <f t="shared" ref="C26:H26" si="1">SUM(C24:C25)</f>
        <v/>
      </c>
      <c r="D26" s="50">
        <f t="shared" si="1"/>
        <v/>
      </c>
      <c r="E26" s="50">
        <f t="shared" si="1"/>
        <v/>
      </c>
      <c r="F26" s="50">
        <f t="shared" si="1"/>
        <v/>
      </c>
      <c r="G26" s="50">
        <f t="shared" si="1"/>
        <v/>
      </c>
      <c r="H26" s="51">
        <f t="shared" si="1"/>
        <v/>
      </c>
    </row>
    <row r="27" spans="2:15" ht="15" customHeight="1">
      <c r="B27" s="104" t="s">
        <v>413</v>
      </c>
      <c r="C27" s="50"/>
      <c r="D27" s="50"/>
      <c r="E27" s="50"/>
      <c r="F27" s="50"/>
      <c r="G27" s="50"/>
      <c r="H27" s="51"/>
    </row>
    <row r="28" spans="2:15" ht="15" customHeight="1">
      <c r="B28" s="102" t="s">
        <v>414</v>
      </c>
      <c r="C28" s="50">
        <f>C22</f>
        <v/>
      </c>
      <c r="D28" s="125">
        <f>C28</f>
        <v/>
      </c>
      <c r="E28" s="50">
        <f>D28</f>
        <v/>
      </c>
      <c r="F28" s="50">
        <f>E28</f>
        <v/>
      </c>
      <c r="G28" s="50">
        <f>F28</f>
        <v/>
      </c>
      <c r="H28" s="51">
        <f>G28</f>
        <v/>
      </c>
    </row>
    <row r="29" spans="2:15" ht="15" customHeight="1">
      <c r="B29" s="102" t="s">
        <v>415</v>
      </c>
      <c r="C29" s="50">
        <f>0</f>
        <v/>
      </c>
      <c r="D29" s="50" t="str">
        <f>'14. 현금흐름계획'!$D$9</f>
        <v/>
      </c>
      <c r="E29" s="50" t="str">
        <f>'14. 현금흐름계획'!$D$9</f>
        <v/>
      </c>
      <c r="F29" s="50" t="str">
        <f>'14. 현금흐름계획'!$D$9</f>
        <v/>
      </c>
      <c r="G29" s="50" t="str">
        <f>'14. 현금흐름계획'!$D$9</f>
        <v/>
      </c>
      <c r="H29" s="51" t="str">
        <f>'14. 현금흐름계획'!$D$9</f>
        <v/>
      </c>
    </row>
    <row r="30" spans="2:15" ht="15" customHeight="1">
      <c r="B30" s="102" t="s">
        <v>416</v>
      </c>
      <c r="C30" s="50">
        <f>0</f>
        <v/>
      </c>
      <c r="D30" s="50">
        <f>'12 손익계획'!C26</f>
        <v/>
      </c>
      <c r="E30" s="50">
        <f>'12 손익계획'!D26+D30</f>
        <v/>
      </c>
      <c r="F30" s="50">
        <f>'12 손익계획'!E26+E30</f>
        <v/>
      </c>
      <c r="G30" s="50">
        <f>'12 손익계획'!F26+F30</f>
        <v/>
      </c>
      <c r="H30" s="51">
        <f>'12 손익계획'!G26+G30</f>
        <v/>
      </c>
    </row>
    <row r="31" spans="2:15" ht="15" customHeight="1">
      <c r="B31" s="104" t="s">
        <v>417</v>
      </c>
      <c r="C31" s="50">
        <f t="shared" ref="C31" si="2">SUM(C28,C30)</f>
        <v/>
      </c>
      <c r="D31" s="50">
        <f>SUM(D28:D30)</f>
        <v/>
      </c>
      <c r="E31" s="50">
        <f t="shared" ref="E31:H31" si="3">SUM(E28:E30)</f>
        <v/>
      </c>
      <c r="F31" s="50">
        <f t="shared" si="3"/>
        <v/>
      </c>
      <c r="G31" s="50">
        <f t="shared" si="3"/>
        <v/>
      </c>
      <c r="H31" s="51">
        <f t="shared" si="3"/>
        <v/>
      </c>
    </row>
    <row r="32" spans="2:15" ht="15" customHeight="1" thickBot="1">
      <c r="B32" s="105" t="s">
        <v>418</v>
      </c>
      <c r="C32" s="86">
        <f t="shared" ref="C32:H32" si="4">C31+C26</f>
        <v/>
      </c>
      <c r="D32" s="86">
        <f t="shared" si="4"/>
        <v/>
      </c>
      <c r="E32" s="86">
        <f t="shared" si="4"/>
        <v/>
      </c>
      <c r="F32" s="86">
        <f t="shared" si="4"/>
        <v/>
      </c>
      <c r="G32" s="86">
        <f t="shared" si="4"/>
        <v/>
      </c>
      <c r="H32" s="147">
        <f t="shared" si="4"/>
        <v/>
      </c>
    </row>
    <row r="33" spans="3:8" ht="15" customHeight="1"/>
    <row r="34" spans="3:8" ht="15" customHeight="1">
      <c r="C34" s="125"/>
      <c r="D34" s="125">
        <f>D22-D32</f>
        <v/>
      </c>
      <c r="E34" s="125">
        <f>E22-E32</f>
        <v/>
      </c>
      <c r="F34" s="125">
        <f>F22-F32</f>
        <v/>
      </c>
      <c r="G34" s="125">
        <f>G22-G32</f>
        <v/>
      </c>
      <c r="H34" s="125">
        <f>H22-H32</f>
        <v/>
      </c>
    </row>
    <row r="35" spans="3:8" ht="15" customHeight="1"/>
    <row r="36" spans="3:8" ht="20.100000000000001" customHeight="1"/>
    <row r="37" spans="3:8" ht="15" customHeight="1"/>
    <row r="42" spans="3:8" ht="15" customHeight="1"/>
    <row r="43" spans="3:8" ht="20.100000000000001" customHeight="1"/>
    <row r="44" spans="3:8" ht="15" customHeight="1"/>
    <row r="48" spans="3:8" ht="15" customHeight="1"/>
    <row r="49" ht="20.100000000000001" customHeight="1"/>
    <row r="50" ht="15" customHeight="1"/>
    <row r="54" ht="15" customHeight="1"/>
    <row r="55" ht="20.100000000000001" customHeight="1"/>
    <row r="56" ht="15" customHeight="1"/>
  </sheetData>
  <mergeCells count="2">
    <mergeCell ref="B5:B6"/>
    <mergeCell ref="B2:D2"/>
  </mergeCells>
  <phoneticPr fontId="2" type="noConversion"/>
  <pageMargins left="0.75" right="0.75" top="1" bottom="1" header="0.5" footer="0.5"/>
  <pageSetup paperSize="9" orientation="portrait" r:id="rId1"/>
  <headerFooter alignWithMargins="0"/>
  <ignoredErrors>
    <ignoredError sqref="E12:H12 C17 C15:H15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00"/>
  </sheetPr>
  <dimension ref="A1:I59"/>
  <sheetViews>
    <sheetView showGridLines="0" zoomScale="85" zoomScaleNormal="85" zoomScaleSheetLayoutView="115" workbookViewId="0">
      <selection activeCell="D5" sqref="D5:I6"/>
    </sheetView>
  </sheetViews>
  <sheetFormatPr defaultColWidth="8.88671875" defaultRowHeight="13.5"/>
  <cols>
    <col min="1" max="1" width="5.5546875" style="34" customWidth="1"/>
    <col min="2" max="2" width="4.33203125" style="34" customWidth="1"/>
    <col min="3" max="3" width="20.5546875" style="34" customWidth="1"/>
    <col min="4" max="9" width="10.5546875" style="34" customWidth="1"/>
    <col min="10" max="10" width="6.77734375" style="34" customWidth="1"/>
    <col min="11" max="16384" width="8.88671875" style="34"/>
  </cols>
  <sheetData>
    <row r="1" spans="1:9" ht="15" customHeight="1"/>
    <row r="2" spans="1:9" ht="24.95" customHeight="1">
      <c r="A2" s="170"/>
      <c r="B2" s="446" t="s">
        <v>419</v>
      </c>
      <c r="C2" s="446"/>
      <c r="D2" s="446"/>
    </row>
    <row r="3" spans="1:9" ht="15" customHeight="1"/>
    <row r="4" spans="1:9" ht="15" customHeight="1" thickBot="1">
      <c r="H4" s="733" t="s">
        <v>420</v>
      </c>
      <c r="I4" s="834"/>
    </row>
    <row r="5" spans="1:9" ht="24.95" customHeight="1" thickBot="1">
      <c r="B5" s="547" t="s">
        <v>421</v>
      </c>
      <c r="C5" s="540"/>
      <c r="D5" s="540" t="s">
        <v>422</v>
      </c>
      <c r="E5" s="540"/>
      <c r="F5" s="540"/>
      <c r="G5" s="540"/>
      <c r="H5" s="540"/>
      <c r="I5" s="836"/>
    </row>
    <row r="6" spans="1:9" ht="24.95" customHeight="1">
      <c r="B6" s="835"/>
      <c r="C6" s="541"/>
      <c r="D6" s="443"/>
      <c r="E6" s="443"/>
      <c r="F6" s="443"/>
      <c r="G6" s="443"/>
      <c r="H6" s="443"/>
      <c r="I6" s="106" t="s">
        <v>423</v>
      </c>
    </row>
    <row r="7" spans="1:9" ht="24.95" customHeight="1">
      <c r="B7" s="831" t="s">
        <v>424</v>
      </c>
      <c r="C7" s="107" t="s">
        <v>425</v>
      </c>
      <c r="D7" s="227">
        <f>'12 손익계획'!C6</f>
        <v/>
      </c>
      <c r="E7" s="227">
        <f>'12 손익계획'!D6</f>
        <v/>
      </c>
      <c r="F7" s="227">
        <f>'12 손익계획'!E6</f>
        <v/>
      </c>
      <c r="G7" s="227">
        <f>'12 손익계획'!F6</f>
        <v/>
      </c>
      <c r="H7" s="227">
        <f>'12 손익계획'!G6</f>
        <v/>
      </c>
      <c r="I7" s="228"/>
    </row>
    <row r="8" spans="1:9" ht="24.95" customHeight="1">
      <c r="B8" s="448"/>
      <c r="C8" s="107" t="s">
        <v>426</v>
      </c>
      <c r="D8" s="227">
        <f>0</f>
        <v/>
      </c>
      <c r="E8" s="227">
        <f>0</f>
        <v/>
      </c>
      <c r="F8" s="227">
        <f>0</f>
        <v/>
      </c>
      <c r="G8" s="227">
        <f>0</f>
        <v/>
      </c>
      <c r="H8" s="227">
        <f>0</f>
        <v/>
      </c>
      <c r="I8" s="228"/>
    </row>
    <row r="9" spans="1:9" ht="24.95" customHeight="1">
      <c r="B9" s="448"/>
      <c r="C9" s="107" t="s">
        <v>427</v>
      </c>
      <c r="D9" s="227" t="str">
        <f>'3.투자계획'!G22</f>
        <v/>
      </c>
      <c r="E9" s="227">
        <f>0</f>
        <v/>
      </c>
      <c r="F9" s="227">
        <f>0</f>
        <v/>
      </c>
      <c r="G9" s="227">
        <f>0</f>
        <v/>
      </c>
      <c r="H9" s="227">
        <f>0</f>
        <v/>
      </c>
      <c r="I9" s="228"/>
    </row>
    <row r="10" spans="1:9" ht="24.95" customHeight="1">
      <c r="B10" s="448"/>
      <c r="C10" s="107" t="s">
        <v>428</v>
      </c>
      <c r="D10" s="227">
        <f>SUM('1. 기초재무상태조사'!E39:F39)</f>
        <v/>
      </c>
      <c r="E10" s="227">
        <f>0</f>
        <v/>
      </c>
      <c r="F10" s="227">
        <f>0</f>
        <v/>
      </c>
      <c r="G10" s="227">
        <f>0</f>
        <v/>
      </c>
      <c r="H10" s="227">
        <f>0</f>
        <v/>
      </c>
      <c r="I10" s="228"/>
    </row>
    <row r="11" spans="1:9" ht="24.95" customHeight="1">
      <c r="B11" s="448"/>
      <c r="C11" s="107" t="s">
        <v>429</v>
      </c>
      <c r="D11" s="227">
        <f>0</f>
        <v/>
      </c>
      <c r="E11" s="227">
        <f>0</f>
        <v/>
      </c>
      <c r="F11" s="227">
        <f>0</f>
        <v/>
      </c>
      <c r="G11" s="227">
        <f>0</f>
        <v/>
      </c>
      <c r="H11" s="227">
        <f>0</f>
        <v/>
      </c>
      <c r="I11" s="228"/>
    </row>
    <row r="12" spans="1:9" ht="24.95" customHeight="1">
      <c r="B12" s="448"/>
      <c r="C12" s="107" t="s">
        <v>430</v>
      </c>
      <c r="D12" s="227">
        <f>'4. 원리금상환계획'!D38</f>
        <v/>
      </c>
      <c r="E12" s="227">
        <f>'3.투자계획'!F9</f>
        <v/>
      </c>
      <c r="F12" s="227">
        <f>'3.투자계획'!$F10</f>
        <v/>
      </c>
      <c r="G12" s="227">
        <f>'3.투자계획'!$F11</f>
        <v/>
      </c>
      <c r="H12" s="227">
        <f>'3.투자계획'!$F12</f>
        <v/>
      </c>
      <c r="I12" s="228"/>
    </row>
    <row r="13" spans="1:9" ht="24.95" customHeight="1">
      <c r="B13" s="448"/>
      <c r="C13" s="107" t="s">
        <v>431</v>
      </c>
      <c r="D13" s="227">
        <f>0</f>
        <v/>
      </c>
      <c r="E13" s="227">
        <f>0</f>
        <v/>
      </c>
      <c r="F13" s="227">
        <f>0</f>
        <v/>
      </c>
      <c r="G13" s="227">
        <f>0</f>
        <v/>
      </c>
      <c r="H13" s="227">
        <f>0</f>
        <v/>
      </c>
      <c r="I13" s="228"/>
    </row>
    <row r="14" spans="1:9" ht="24.95" customHeight="1">
      <c r="B14" s="448"/>
      <c r="C14" s="107" t="s">
        <v>432</v>
      </c>
      <c r="D14" s="190">
        <f>SUM(D7:D13)</f>
        <v/>
      </c>
      <c r="E14" s="190">
        <f>SUM(E7:E13)</f>
        <v/>
      </c>
      <c r="F14" s="190">
        <f>SUM(F7:F13)</f>
        <v/>
      </c>
      <c r="G14" s="190">
        <f>SUM(G7:G13)</f>
        <v/>
      </c>
      <c r="H14" s="190">
        <f>SUM(H7:H13)</f>
        <v/>
      </c>
      <c r="I14" s="229"/>
    </row>
    <row r="15" spans="1:9" ht="24.95" customHeight="1">
      <c r="B15" s="455" t="s">
        <v>433</v>
      </c>
      <c r="C15" s="107" t="s">
        <v>434</v>
      </c>
      <c r="D15" s="227">
        <f>SUM('3.투자계획'!E20:E23)</f>
        <v/>
      </c>
      <c r="E15" s="227"/>
      <c r="F15" s="227">
        <f>0</f>
        <v/>
      </c>
      <c r="G15" s="227">
        <f>0</f>
        <v/>
      </c>
      <c r="H15" s="227">
        <f>0</f>
        <v/>
      </c>
      <c r="I15" s="228"/>
    </row>
    <row r="16" spans="1:9" ht="24.95" customHeight="1">
      <c r="B16" s="456"/>
      <c r="C16" s="107" t="s">
        <v>435</v>
      </c>
      <c r="D16" s="227">
        <f>SUM('3.투자계획'!E19:E19)</f>
        <v/>
      </c>
      <c r="E16" s="227"/>
      <c r="F16" s="227">
        <f>0</f>
        <v/>
      </c>
      <c r="G16" s="227">
        <f>0</f>
        <v/>
      </c>
      <c r="H16" s="227">
        <f>0</f>
        <v/>
      </c>
      <c r="I16" s="228"/>
    </row>
    <row r="17" spans="2:9" ht="24.95" customHeight="1">
      <c r="B17" s="456"/>
      <c r="C17" s="107" t="s">
        <v>436</v>
      </c>
      <c r="D17" s="227">
        <f>'11. 생산원가계획'!C31-'11. 생산원가계획'!C21</f>
        <v/>
      </c>
      <c r="E17" s="227">
        <f xml:space="preserve"> '11. 생산원가계획'!D31-'11. 생산원가계획'!D21</f>
        <v/>
      </c>
      <c r="F17" s="227">
        <f>'11. 생산원가계획'!E31-'11. 생산원가계획'!E21</f>
        <v/>
      </c>
      <c r="G17" s="227">
        <f>'11. 생산원가계획'!F31-'11. 생산원가계획'!F21</f>
        <v/>
      </c>
      <c r="H17" s="227">
        <f>'11. 생산원가계획'!G31-'11. 생산원가계획'!G21</f>
        <v/>
      </c>
      <c r="I17" s="228"/>
    </row>
    <row r="18" spans="2:9" ht="24.95" customHeight="1">
      <c r="B18" s="456"/>
      <c r="C18" s="107" t="s">
        <v>437</v>
      </c>
      <c r="D18" s="227">
        <f>0</f>
        <v/>
      </c>
      <c r="E18" s="227">
        <f>'12 손익계획'!D11</f>
        <v/>
      </c>
      <c r="F18" s="227">
        <f>'12 손익계획'!E11</f>
        <v/>
      </c>
      <c r="G18" s="227">
        <f>'12 손익계획'!F11</f>
        <v/>
      </c>
      <c r="H18" s="230">
        <f>'12 손익계획'!G11</f>
        <v/>
      </c>
      <c r="I18" s="228"/>
    </row>
    <row r="19" spans="2:9" ht="24.95" customHeight="1">
      <c r="B19" s="456"/>
      <c r="C19" s="107" t="s">
        <v>438</v>
      </c>
      <c r="D19" s="227">
        <f>'12 손익계획'!C20</f>
        <v/>
      </c>
      <c r="E19" s="227">
        <f>'12 손익계획'!D20</f>
        <v/>
      </c>
      <c r="F19" s="227">
        <f>'12 손익계획'!E20</f>
        <v/>
      </c>
      <c r="G19" s="227">
        <f>'12 손익계획'!F20</f>
        <v/>
      </c>
      <c r="H19" s="227">
        <f>'12 손익계획'!G20</f>
        <v/>
      </c>
      <c r="I19" s="228"/>
    </row>
    <row r="20" spans="2:9" ht="24.95" customHeight="1">
      <c r="B20" s="456"/>
      <c r="C20" s="107" t="s">
        <v>439</v>
      </c>
      <c r="D20" s="227">
        <f>0</f>
        <v/>
      </c>
      <c r="E20" s="227">
        <f>0</f>
        <v/>
      </c>
      <c r="F20" s="227">
        <f>0</f>
        <v/>
      </c>
      <c r="G20" s="227">
        <f>'4. 원리금상환계획'!D11</f>
        <v/>
      </c>
      <c r="H20" s="227">
        <f>'4. 원리금상환계획'!D12</f>
        <v/>
      </c>
      <c r="I20" s="228"/>
    </row>
    <row r="21" spans="2:9" ht="24.95" customHeight="1">
      <c r="B21" s="457"/>
      <c r="C21" s="107" t="s">
        <v>440</v>
      </c>
      <c r="D21" s="190">
        <f>SUM(D15:D20)</f>
        <v/>
      </c>
      <c r="E21" s="190">
        <f>SUM(E15:E20)</f>
        <v/>
      </c>
      <c r="F21" s="190">
        <f>SUM(F15:F20)</f>
        <v/>
      </c>
      <c r="G21" s="190">
        <f>SUM(G15:G20)</f>
        <v/>
      </c>
      <c r="H21" s="190">
        <f>SUM(H15:H20)</f>
        <v/>
      </c>
      <c r="I21" s="229"/>
    </row>
    <row r="22" spans="2:9" ht="39.950000000000003" customHeight="1">
      <c r="B22" s="831" t="s">
        <v>441</v>
      </c>
      <c r="C22" s="832"/>
      <c r="D22" s="190">
        <f>D14-D21</f>
        <v/>
      </c>
      <c r="E22" s="190">
        <f>E14-E21</f>
        <v/>
      </c>
      <c r="F22" s="190">
        <f>F14-F21</f>
        <v/>
      </c>
      <c r="G22" s="190">
        <f>G14-G21</f>
        <v/>
      </c>
      <c r="H22" s="190">
        <f>H14-H21</f>
        <v/>
      </c>
      <c r="I22" s="229"/>
    </row>
    <row r="23" spans="2:9" ht="39.950000000000003" customHeight="1" thickBot="1">
      <c r="B23" s="833" t="s">
        <v>442</v>
      </c>
      <c r="C23" s="451"/>
      <c r="D23" s="231">
        <f>D14-D21</f>
        <v/>
      </c>
      <c r="E23" s="231">
        <f>D23+E22</f>
        <v/>
      </c>
      <c r="F23" s="231">
        <f>E23+F22</f>
        <v/>
      </c>
      <c r="G23" s="231">
        <f>F23+G22</f>
        <v/>
      </c>
      <c r="H23" s="231">
        <f>G23+H22</f>
        <v/>
      </c>
      <c r="I23" s="232"/>
    </row>
    <row r="24" spans="2:9" ht="24.95" customHeight="1">
      <c r="B24" s="829" t="s">
        <v>443</v>
      </c>
      <c r="C24" s="830"/>
      <c r="D24" s="830"/>
      <c r="E24" s="830"/>
      <c r="F24" s="830"/>
      <c r="G24" s="830"/>
      <c r="H24" s="830"/>
      <c r="I24" s="830"/>
    </row>
    <row r="26" spans="2:9" ht="15" customHeight="1"/>
    <row r="30" spans="2:9" ht="15" customHeight="1"/>
    <row r="31" spans="2:9" ht="15" customHeight="1"/>
    <row r="32" spans="2:9" ht="15" customHeight="1"/>
    <row r="33" ht="20.100000000000001" customHeight="1"/>
    <row r="34" ht="15" customHeight="1"/>
    <row r="38" ht="15" customHeight="1"/>
    <row r="39" ht="20.100000000000001" customHeight="1"/>
    <row r="40" ht="15" customHeight="1"/>
    <row r="45" ht="15" customHeight="1"/>
    <row r="46" ht="20.100000000000001" customHeight="1"/>
    <row r="47" ht="15" customHeight="1"/>
    <row r="51" ht="15" customHeight="1"/>
    <row r="52" ht="20.100000000000001" customHeight="1"/>
    <row r="53" ht="15" customHeight="1"/>
    <row r="57" ht="15" customHeight="1"/>
    <row r="58" ht="20.100000000000001" customHeight="1"/>
    <row r="59" ht="15" customHeight="1"/>
  </sheetData>
  <mergeCells count="9">
    <mergeCell ref="B2:D2"/>
    <mergeCell ref="B24:I24"/>
    <mergeCell ref="B22:C22"/>
    <mergeCell ref="B23:C23"/>
    <mergeCell ref="H4:I4"/>
    <mergeCell ref="B5:C6"/>
    <mergeCell ref="D5:I5"/>
    <mergeCell ref="B7:B14"/>
    <mergeCell ref="B15:B21"/>
  </mergeCells>
  <phoneticPr fontId="2" type="noConversion"/>
  <pageMargins left="0.7" right="0.7" top="0.75" bottom="0.75" header="0.3" footer="0.3"/>
  <pageSetup paperSize="9" scale="85" orientation="portrait" r:id="rId1"/>
  <headerFooter alignWithMargins="0"/>
  <colBreaks count="1" manualBreakCount="1">
    <brk id="9" max="1048575" man="1"/>
  </colBreaks>
  <ignoredErrors>
    <ignoredError sqref="D10 E12:H12 D19:E19 F14:H14" 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B1:I65"/>
  <sheetViews>
    <sheetView tabSelected="1" zoomScaleNormal="100" workbookViewId="0">
      <selection activeCell="H2" sqref="H2"/>
    </sheetView>
  </sheetViews>
  <sheetFormatPr defaultRowHeight="13.5"/>
  <cols>
    <col min="1" max="1" width="5.5546875" customWidth="1"/>
    <col min="2" max="3" width="3.77734375" customWidth="1"/>
    <col min="4" max="4" width="16.5546875" customWidth="1"/>
    <col min="5" max="9" width="10.109375" customWidth="1"/>
  </cols>
  <sheetData>
    <row r="1" spans="2:9" ht="15" customHeight="1"/>
    <row r="2" spans="2:9" s="34" customFormat="1" ht="24.95" customHeight="1">
      <c r="B2" s="446" t="s">
        <v>444</v>
      </c>
      <c r="C2" s="446"/>
      <c r="D2" s="447"/>
      <c r="E2" s="447"/>
      <c r="F2" s="447"/>
      <c r="G2" s="85"/>
    </row>
    <row r="3" spans="2:9" ht="15" customHeight="1" thickBot="1">
      <c r="F3" s="76"/>
      <c r="I3" t="s">
        <v>445</v>
      </c>
    </row>
    <row r="4" spans="2:9" ht="20.100000000000001" customHeight="1">
      <c r="B4" s="452" t="s">
        <v>446</v>
      </c>
      <c r="C4" s="453"/>
      <c r="D4" s="454"/>
      <c r="E4" s="271"/>
      <c r="F4" s="271"/>
      <c r="G4" s="271"/>
      <c r="H4" s="271"/>
      <c r="I4" s="444"/>
    </row>
    <row r="5" spans="2:9" ht="20.100000000000001" customHeight="1">
      <c r="B5" s="455" t="s">
        <v>447</v>
      </c>
      <c r="C5" s="458" t="s">
        <v>448</v>
      </c>
      <c r="D5" s="459"/>
      <c r="E5" s="142">
        <f>' 5. 판매계획'!C44</f>
        <v/>
      </c>
      <c r="F5" s="142">
        <f>' 5. 판매계획'!E44</f>
        <v/>
      </c>
      <c r="G5" s="142">
        <f>' 5. 판매계획'!G44</f>
        <v/>
      </c>
      <c r="H5" s="142">
        <f>' 5. 판매계획'!I44</f>
        <v/>
      </c>
      <c r="I5" s="148">
        <f>' 5. 판매계획'!K44</f>
        <v/>
      </c>
    </row>
    <row r="6" spans="2:9" ht="20.100000000000001" customHeight="1">
      <c r="B6" s="456"/>
      <c r="C6" s="458" t="s">
        <v>449</v>
      </c>
      <c r="D6" s="459"/>
      <c r="E6" s="142">
        <f>0</f>
        <v/>
      </c>
      <c r="F6" s="142">
        <f>0</f>
        <v/>
      </c>
      <c r="G6" s="142">
        <f>0</f>
        <v/>
      </c>
      <c r="H6" s="142">
        <f>0</f>
        <v/>
      </c>
      <c r="I6" s="148">
        <f>0</f>
        <v/>
      </c>
    </row>
    <row r="7" spans="2:9" ht="20.100000000000001" customHeight="1">
      <c r="B7" s="457"/>
      <c r="C7" s="458" t="s">
        <v>450</v>
      </c>
      <c r="D7" s="459"/>
      <c r="E7" s="142"/>
      <c r="F7" s="142">
        <f>SUM(F5,F6)</f>
        <v/>
      </c>
      <c r="G7" s="142">
        <f>SUM(G5,G6)</f>
        <v/>
      </c>
      <c r="H7" s="142">
        <f>SUM(H5,H6)</f>
        <v/>
      </c>
      <c r="I7" s="148">
        <f>SUM(I5,I6)</f>
        <v/>
      </c>
    </row>
    <row r="8" spans="2:9" ht="20.100000000000001" customHeight="1">
      <c r="B8" s="468" t="s">
        <v>451</v>
      </c>
      <c r="C8" s="460" t="s">
        <v>452</v>
      </c>
      <c r="D8" s="109" t="s">
        <v>199</v>
      </c>
      <c r="E8" s="187">
        <f>'11. 생산원가계획'!C6</f>
        <v/>
      </c>
      <c r="F8" s="187">
        <f>'11. 생산원가계획'!D6</f>
        <v/>
      </c>
      <c r="G8" s="187">
        <f>'11. 생산원가계획'!E6</f>
        <v/>
      </c>
      <c r="H8" s="187">
        <f>'11. 생산원가계획'!F6</f>
        <v/>
      </c>
      <c r="I8" s="187">
        <f>'11. 생산원가계획'!G6</f>
        <v/>
      </c>
    </row>
    <row r="9" spans="2:9" ht="20.100000000000001" customHeight="1">
      <c r="B9" s="468"/>
      <c r="C9" s="460"/>
      <c r="D9" s="109" t="s">
        <v>200</v>
      </c>
      <c r="E9" s="187">
        <f>'11. 생산원가계획'!C7</f>
        <v/>
      </c>
      <c r="F9" s="187">
        <f>'11. 생산원가계획'!D7</f>
        <v/>
      </c>
      <c r="G9" s="187">
        <f>'11. 생산원가계획'!E7</f>
        <v/>
      </c>
      <c r="H9" s="187">
        <f>'11. 생산원가계획'!F7</f>
        <v/>
      </c>
      <c r="I9" s="187">
        <f>'11. 생산원가계획'!G7</f>
        <v/>
      </c>
    </row>
    <row r="10" spans="2:9" ht="20.100000000000001" customHeight="1">
      <c r="B10" s="468"/>
      <c r="C10" s="460"/>
      <c r="D10" s="109" t="s">
        <v>201</v>
      </c>
      <c r="E10" s="187">
        <f>'11. 생산원가계획'!C8</f>
        <v/>
      </c>
      <c r="F10" s="187">
        <f>'11. 생산원가계획'!D8</f>
        <v/>
      </c>
      <c r="G10" s="187">
        <f>'11. 생산원가계획'!E8</f>
        <v/>
      </c>
      <c r="H10" s="187">
        <f>'11. 생산원가계획'!F8</f>
        <v/>
      </c>
      <c r="I10" s="187">
        <f>'11. 생산원가계획'!G8</f>
        <v/>
      </c>
    </row>
    <row r="11" spans="2:9" ht="20.100000000000001" customHeight="1">
      <c r="B11" s="468"/>
      <c r="C11" s="460"/>
      <c r="D11" s="109" t="s">
        <v>207</v>
      </c>
      <c r="E11" s="187">
        <f>'11. 생산원가계획'!C9</f>
        <v/>
      </c>
      <c r="F11" s="187">
        <f>'11. 생산원가계획'!D9</f>
        <v/>
      </c>
      <c r="G11" s="187">
        <f>'11. 생산원가계획'!E9</f>
        <v/>
      </c>
      <c r="H11" s="187">
        <f>'11. 생산원가계획'!F9</f>
        <v/>
      </c>
      <c r="I11" s="187">
        <f>'11. 생산원가계획'!G9</f>
        <v/>
      </c>
    </row>
    <row r="12" spans="2:9" ht="20.100000000000001" customHeight="1">
      <c r="B12" s="468"/>
      <c r="C12" s="460"/>
      <c r="D12" s="109" t="s">
        <v>203</v>
      </c>
      <c r="E12" s="187">
        <f>'11. 생산원가계획'!C10</f>
        <v/>
      </c>
      <c r="F12" s="187">
        <f>'11. 생산원가계획'!D10</f>
        <v/>
      </c>
      <c r="G12" s="187">
        <f>'11. 생산원가계획'!E10</f>
        <v/>
      </c>
      <c r="H12" s="187">
        <f>'11. 생산원가계획'!F10</f>
        <v/>
      </c>
      <c r="I12" s="187">
        <f>'11. 생산원가계획'!G10</f>
        <v/>
      </c>
    </row>
    <row r="13" spans="2:9" ht="20.100000000000001" customHeight="1">
      <c r="B13" s="468"/>
      <c r="C13" s="460"/>
      <c r="D13" s="109" t="s">
        <v>453</v>
      </c>
      <c r="E13" s="187">
        <f>'11. 생산원가계획'!C20</f>
        <v/>
      </c>
      <c r="F13" s="187">
        <f>'11. 생산원가계획'!D20</f>
        <v/>
      </c>
      <c r="G13" s="187">
        <f>'11. 생산원가계획'!E20</f>
        <v/>
      </c>
      <c r="H13" s="187">
        <f>'11. 생산원가계획'!F20</f>
        <v/>
      </c>
      <c r="I13" s="149">
        <f>'11. 생산원가계획'!G20</f>
        <v/>
      </c>
    </row>
    <row r="14" spans="2:9" ht="20.100000000000001" customHeight="1">
      <c r="B14" s="468"/>
      <c r="C14" s="460"/>
      <c r="D14" s="109" t="s">
        <v>454</v>
      </c>
      <c r="E14" s="187">
        <f>'11. 생산원가계획'!C29</f>
        <v/>
      </c>
      <c r="F14" s="187">
        <f>'11. 생산원가계획'!C29</f>
        <v/>
      </c>
      <c r="G14" s="187">
        <f>'11. 생산원가계획'!C29</f>
        <v/>
      </c>
      <c r="H14" s="187">
        <f>'11. 생산원가계획'!C29</f>
        <v/>
      </c>
      <c r="I14" s="149">
        <f>'11. 생산원가계획'!C29</f>
        <v/>
      </c>
    </row>
    <row r="15" spans="2:9" ht="20.100000000000001" customHeight="1">
      <c r="B15" s="468"/>
      <c r="C15" s="460"/>
      <c r="D15" s="109" t="s">
        <v>455</v>
      </c>
      <c r="E15" s="187">
        <f>'11. 생산원가계획'!C23</f>
        <v/>
      </c>
      <c r="F15" s="187">
        <f>'11. 생산원가계획'!D23</f>
        <v/>
      </c>
      <c r="G15" s="187">
        <f>'11. 생산원가계획'!E23</f>
        <v/>
      </c>
      <c r="H15" s="187">
        <f>'11. 생산원가계획'!F23</f>
        <v/>
      </c>
      <c r="I15" s="149">
        <f>'11. 생산원가계획'!G23</f>
        <v/>
      </c>
    </row>
    <row r="16" spans="2:9" ht="20.100000000000001" customHeight="1">
      <c r="B16" s="468"/>
      <c r="C16" s="460"/>
      <c r="D16" s="109" t="s">
        <v>456</v>
      </c>
      <c r="E16" s="187">
        <f>'11. 생산원가계획'!C22</f>
        <v/>
      </c>
      <c r="F16" s="187">
        <f>'11. 생산원가계획'!D22</f>
        <v/>
      </c>
      <c r="G16" s="187">
        <f>'11. 생산원가계획'!E22</f>
        <v/>
      </c>
      <c r="H16" s="187">
        <f>'11. 생산원가계획'!F22</f>
        <v/>
      </c>
      <c r="I16" s="149">
        <f>'11. 생산원가계획'!G22</f>
        <v/>
      </c>
    </row>
    <row r="17" spans="2:9" ht="20.100000000000001" customHeight="1">
      <c r="B17" s="468"/>
      <c r="C17" s="460"/>
      <c r="D17" s="109" t="s">
        <v>457</v>
      </c>
      <c r="E17" s="187">
        <f>'11. 생산원가계획'!C24</f>
        <v/>
      </c>
      <c r="F17" s="187">
        <f>'11. 생산원가계획'!D24</f>
        <v/>
      </c>
      <c r="G17" s="187">
        <f>'11. 생산원가계획'!E24</f>
        <v/>
      </c>
      <c r="H17" s="187">
        <f>'11. 생산원가계획'!F24</f>
        <v/>
      </c>
      <c r="I17" s="149">
        <f>'11. 생산원가계획'!G24</f>
        <v/>
      </c>
    </row>
    <row r="18" spans="2:9" ht="20.100000000000001" customHeight="1">
      <c r="B18" s="468"/>
      <c r="C18" s="460"/>
      <c r="D18" s="109" t="s">
        <v>458</v>
      </c>
      <c r="E18" s="187">
        <f>'11. 생산원가계획'!C17</f>
        <v/>
      </c>
      <c r="F18" s="187">
        <f>'11. 생산원가계획'!D17</f>
        <v/>
      </c>
      <c r="G18" s="187">
        <f>'11. 생산원가계획'!E17</f>
        <v/>
      </c>
      <c r="H18" s="187">
        <f>'11. 생산원가계획'!F17</f>
        <v/>
      </c>
      <c r="I18" s="149">
        <f>'11. 생산원가계획'!G17</f>
        <v/>
      </c>
    </row>
    <row r="19" spans="2:9" ht="20.100000000000001" customHeight="1">
      <c r="B19" s="468"/>
      <c r="C19" s="460"/>
      <c r="D19" s="110" t="s">
        <v>459</v>
      </c>
      <c r="E19" s="187">
        <f>0</f>
        <v/>
      </c>
      <c r="F19" s="187">
        <f>0</f>
        <v/>
      </c>
      <c r="G19" s="187">
        <f>0</f>
        <v/>
      </c>
      <c r="H19" s="187">
        <f>0</f>
        <v/>
      </c>
      <c r="I19" s="149">
        <f>0</f>
        <v/>
      </c>
    </row>
    <row r="20" spans="2:9" ht="20.100000000000001" customHeight="1">
      <c r="B20" s="468"/>
      <c r="C20" s="461"/>
      <c r="D20" s="353" t="s">
        <v>450</v>
      </c>
      <c r="E20" s="108">
        <f>SUM(E8:E19)</f>
        <v/>
      </c>
      <c r="F20" s="108">
        <f>SUM(F8:F19)</f>
        <v/>
      </c>
      <c r="G20" s="108">
        <f>SUM(G8:G19)</f>
        <v/>
      </c>
      <c r="H20" s="108">
        <f>SUM(H8:H19)</f>
        <v/>
      </c>
      <c r="I20" s="157">
        <f>SUM(I8:I19)</f>
        <v/>
      </c>
    </row>
    <row r="21" spans="2:9" ht="23.1" customHeight="1">
      <c r="B21" s="468"/>
      <c r="C21" s="464" t="s">
        <v>460</v>
      </c>
      <c r="D21" s="354" t="s">
        <v>300</v>
      </c>
      <c r="E21" s="187">
        <f>'11. 생산원가계획'!C26</f>
        <v/>
      </c>
      <c r="F21" s="187">
        <f>'11. 생산원가계획'!C26</f>
        <v/>
      </c>
      <c r="G21" s="187">
        <f>'11. 생산원가계획'!E26</f>
        <v/>
      </c>
      <c r="H21" s="187">
        <f>'11. 생산원가계획'!E26</f>
        <v/>
      </c>
      <c r="I21" s="149">
        <f>'11. 생산원가계획'!F26</f>
        <v/>
      </c>
    </row>
    <row r="22" spans="2:9" ht="23.1" customHeight="1">
      <c r="B22" s="468"/>
      <c r="C22" s="465"/>
      <c r="D22" s="353" t="s">
        <v>461</v>
      </c>
      <c r="E22" s="187">
        <f>'11. 생산원가계획'!C27</f>
        <v/>
      </c>
      <c r="F22" s="187">
        <f>'11. 생산원가계획'!D27</f>
        <v/>
      </c>
      <c r="G22" s="187">
        <f>'11. 생산원가계획'!E27</f>
        <v/>
      </c>
      <c r="H22" s="187">
        <f>'11. 생산원가계획'!E27</f>
        <v/>
      </c>
      <c r="I22" s="149">
        <f>'11. 생산원가계획'!F27</f>
        <v/>
      </c>
    </row>
    <row r="23" spans="2:9" ht="23.1" customHeight="1">
      <c r="B23" s="468"/>
      <c r="C23" s="471" t="s">
        <v>462</v>
      </c>
      <c r="D23" s="472"/>
      <c r="E23" s="187">
        <f>'12 손익계획'!C11</f>
        <v/>
      </c>
      <c r="F23" s="187">
        <f>'12 손익계획'!D11</f>
        <v/>
      </c>
      <c r="G23" s="187">
        <f>'12 손익계획'!E11</f>
        <v/>
      </c>
      <c r="H23" s="187">
        <f>'12 손익계획'!F11</f>
        <v/>
      </c>
      <c r="I23" s="149">
        <f>'12 손익계획'!G11</f>
        <v/>
      </c>
    </row>
    <row r="24" spans="2:9" ht="20.100000000000001" customHeight="1">
      <c r="B24" s="468"/>
      <c r="C24" s="458" t="s">
        <v>463</v>
      </c>
      <c r="D24" s="459"/>
      <c r="E24" s="187">
        <f>0</f>
        <v/>
      </c>
      <c r="F24" s="187">
        <f>0</f>
        <v/>
      </c>
      <c r="G24" s="187">
        <f>0</f>
        <v/>
      </c>
      <c r="H24" s="187">
        <f>0</f>
        <v/>
      </c>
      <c r="I24" s="149">
        <f>0</f>
        <v/>
      </c>
    </row>
    <row r="25" spans="2:9" ht="20.100000000000001" customHeight="1">
      <c r="B25" s="468"/>
      <c r="C25" s="466" t="s">
        <v>464</v>
      </c>
      <c r="D25" s="467"/>
      <c r="E25" s="187">
        <f>'11. 생산원가계획'!C15</f>
        <v/>
      </c>
      <c r="F25" s="187">
        <f>'11. 생산원가계획'!D15</f>
        <v/>
      </c>
      <c r="G25" s="187">
        <f>'11. 생산원가계획'!E15</f>
        <v/>
      </c>
      <c r="H25" s="187">
        <f>'11. 생산원가계획'!F15</f>
        <v/>
      </c>
      <c r="I25" s="149">
        <f>'11. 생산원가계획'!G15</f>
        <v/>
      </c>
    </row>
    <row r="26" spans="2:9" ht="20.100000000000001" customHeight="1">
      <c r="B26" s="469"/>
      <c r="C26" s="470" t="s">
        <v>450</v>
      </c>
      <c r="D26" s="459"/>
      <c r="E26" s="108">
        <f>SUM(E20:E25)</f>
        <v/>
      </c>
      <c r="F26" s="108">
        <f t="shared" ref="F26:I26" si="0">SUM(F20:F25)</f>
        <v/>
      </c>
      <c r="G26" s="108">
        <f t="shared" si="0"/>
        <v/>
      </c>
      <c r="H26" s="108">
        <f t="shared" si="0"/>
        <v/>
      </c>
      <c r="I26" s="157">
        <f t="shared" si="0"/>
        <v/>
      </c>
    </row>
    <row r="27" spans="2:9" ht="20.100000000000001" customHeight="1">
      <c r="B27" s="462" t="s">
        <v>465</v>
      </c>
      <c r="C27" s="463"/>
      <c r="D27" s="459"/>
      <c r="E27" s="108">
        <f>E7-E26</f>
        <v/>
      </c>
      <c r="F27" s="108">
        <f>F7-F26</f>
        <v/>
      </c>
      <c r="G27" s="108">
        <f>G7-G26</f>
        <v/>
      </c>
      <c r="H27" s="108">
        <f>H7-H26</f>
        <v/>
      </c>
      <c r="I27" s="157">
        <f>I7-I26</f>
        <v/>
      </c>
    </row>
    <row r="28" spans="2:9" ht="20.100000000000001" customHeight="1">
      <c r="B28" s="462" t="s">
        <v>466</v>
      </c>
      <c r="C28" s="463"/>
      <c r="D28" s="459"/>
      <c r="E28" s="108"/>
      <c r="F28" s="108">
        <f>F27/F7*100</f>
        <v/>
      </c>
      <c r="G28" s="108">
        <f>G27/G7*100</f>
        <v/>
      </c>
      <c r="H28" s="108">
        <f>H27/H7*100</f>
        <v/>
      </c>
      <c r="I28" s="157">
        <f>I27/I7*100</f>
        <v/>
      </c>
    </row>
    <row r="29" spans="2:9" ht="20.100000000000001" customHeight="1">
      <c r="B29" s="462" t="s">
        <v>467</v>
      </c>
      <c r="C29" s="463"/>
      <c r="D29" s="459"/>
      <c r="E29" s="108">
        <f>'14. 현금흐름계획'!D19</f>
        <v/>
      </c>
      <c r="F29" s="108">
        <f>'14. 현금흐름계획'!E19</f>
        <v/>
      </c>
      <c r="G29" s="108">
        <f>'14. 현금흐름계획'!F19</f>
        <v/>
      </c>
      <c r="H29" s="108">
        <f>'14. 현금흐름계획'!G19</f>
        <v/>
      </c>
      <c r="I29" s="108">
        <f>'14. 현금흐름계획'!H19</f>
        <v/>
      </c>
    </row>
    <row r="30" spans="2:9" ht="20.100000000000001" customHeight="1">
      <c r="B30" s="448" t="s">
        <v>468</v>
      </c>
      <c r="C30" s="449"/>
      <c r="D30" s="449"/>
      <c r="E30" s="187">
        <f>'11. 생산원가계획'!C12</f>
        <v/>
      </c>
      <c r="F30" s="187">
        <f>'11. 생산원가계획'!D12</f>
        <v/>
      </c>
      <c r="G30" s="187">
        <f>'11. 생산원가계획'!E12</f>
        <v/>
      </c>
      <c r="H30" s="187">
        <f>'11. 생산원가계획'!F12</f>
        <v/>
      </c>
      <c r="I30" s="149">
        <f>'11. 생산원가계획'!G12</f>
        <v/>
      </c>
    </row>
    <row r="31" spans="2:9" ht="20.100000000000001" customHeight="1">
      <c r="B31" s="462" t="s">
        <v>469</v>
      </c>
      <c r="C31" s="463"/>
      <c r="D31" s="459"/>
      <c r="E31" s="187">
        <f>E27-E29-E30</f>
        <v/>
      </c>
      <c r="F31" s="187">
        <f>F27-F29-F30</f>
        <v/>
      </c>
      <c r="G31" s="187">
        <f t="shared" ref="G31:I31" si="1">G27-G29-G30</f>
        <v/>
      </c>
      <c r="H31" s="187">
        <f t="shared" si="1"/>
        <v/>
      </c>
      <c r="I31" s="187">
        <f t="shared" si="1"/>
        <v/>
      </c>
    </row>
    <row r="32" spans="2:9" ht="20.100000000000001" customHeight="1" thickBot="1">
      <c r="B32" s="450" t="s">
        <v>470</v>
      </c>
      <c r="C32" s="451"/>
      <c r="D32" s="451"/>
      <c r="E32" s="445"/>
      <c r="F32" s="168">
        <f>F31/F7</f>
        <v/>
      </c>
      <c r="G32" s="168">
        <f>G31/G7</f>
        <v/>
      </c>
      <c r="H32" s="168">
        <f>H31/H7</f>
        <v/>
      </c>
      <c r="I32" s="169">
        <f>I31/I7</f>
        <v/>
      </c>
    </row>
    <row r="33" spans="2:9">
      <c r="B33" s="473"/>
      <c r="C33" s="473"/>
      <c r="D33" s="473"/>
      <c r="E33" s="473"/>
      <c r="F33" s="473"/>
    </row>
    <row r="34" spans="2:9">
      <c r="E34" s="74"/>
      <c r="F34" s="75"/>
      <c r="G34" s="155"/>
    </row>
    <row r="36" spans="2:9" ht="15" customHeight="1">
      <c r="G36" s="155"/>
    </row>
    <row r="37" spans="2:9" ht="15" customHeight="1">
      <c r="G37" s="155"/>
      <c r="H37" s="155"/>
      <c r="I37" s="155"/>
    </row>
    <row r="38" spans="2:9" ht="15" customHeight="1"/>
    <row r="39" spans="2:9" ht="20.100000000000001" customHeight="1"/>
    <row r="40" spans="2:9" ht="15" customHeight="1"/>
    <row r="44" spans="2:9" ht="15" customHeight="1"/>
    <row r="45" spans="2:9" ht="20.100000000000001" customHeight="1"/>
    <row r="46" spans="2:9" ht="15" customHeight="1"/>
    <row r="51" ht="15" customHeight="1"/>
    <row r="52" ht="20.100000000000001" customHeight="1"/>
    <row r="53" ht="15" customHeight="1"/>
    <row r="57" ht="15" customHeight="1"/>
    <row r="58" ht="20.100000000000001" customHeight="1"/>
    <row r="59" ht="15" customHeight="1"/>
    <row r="63" ht="15" customHeight="1"/>
    <row r="64" ht="20.100000000000001" customHeight="1"/>
    <row r="65" ht="15" customHeight="1"/>
  </sheetData>
  <mergeCells count="20">
    <mergeCell ref="B27:D27"/>
    <mergeCell ref="B29:D29"/>
    <mergeCell ref="B28:D28"/>
    <mergeCell ref="B33:F33"/>
    <mergeCell ref="B2:F2"/>
    <mergeCell ref="B30:D30"/>
    <mergeCell ref="B32:D32"/>
    <mergeCell ref="B4:D4"/>
    <mergeCell ref="B5:B7"/>
    <mergeCell ref="C5:D5"/>
    <mergeCell ref="C6:D6"/>
    <mergeCell ref="C7:D7"/>
    <mergeCell ref="C8:C20"/>
    <mergeCell ref="B31:D31"/>
    <mergeCell ref="C21:C22"/>
    <mergeCell ref="C24:D24"/>
    <mergeCell ref="C25:D25"/>
    <mergeCell ref="B8:B26"/>
    <mergeCell ref="C26:D26"/>
    <mergeCell ref="C23:D23"/>
  </mergeCells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B2:E19"/>
  <sheetViews>
    <sheetView workbookViewId="0">
      <selection activeCell="B25" sqref="B25"/>
    </sheetView>
  </sheetViews>
  <sheetFormatPr defaultRowHeight="13.5"/>
  <cols>
    <col min="2" max="2" width="18.109375" customWidth="1"/>
    <col min="3" max="3" width="79.33203125" customWidth="1"/>
  </cols>
  <sheetData>
    <row r="2" spans="2:5" ht="27">
      <c r="B2" s="446" t="s">
        <v>471</v>
      </c>
      <c r="C2" s="447"/>
      <c r="D2" s="543"/>
      <c r="E2" s="543"/>
    </row>
    <row r="3" spans="2:5">
      <c r="B3" s="5"/>
      <c r="C3" s="5"/>
      <c r="D3" s="5"/>
      <c r="E3" s="5"/>
    </row>
    <row r="4" spans="2:5" ht="14.25" thickBot="1">
      <c r="B4" s="5"/>
      <c r="C4" s="5"/>
      <c r="D4" s="5"/>
      <c r="E4" s="5"/>
    </row>
    <row r="5" spans="2:5" ht="21.75" customHeight="1">
      <c r="B5" s="129" t="s">
        <v>472</v>
      </c>
      <c r="C5" s="130"/>
    </row>
    <row r="6" spans="2:5" ht="23.25" customHeight="1">
      <c r="B6" s="131" t="s">
        <v>473</v>
      </c>
      <c r="C6" s="132"/>
    </row>
    <row r="7" spans="2:5" ht="21.75" customHeight="1">
      <c r="B7" s="131" t="s">
        <v>474</v>
      </c>
      <c r="C7" s="132"/>
    </row>
    <row r="8" spans="2:5" ht="36" customHeight="1">
      <c r="B8" s="131" t="s">
        <v>475</v>
      </c>
      <c r="C8" s="132"/>
    </row>
    <row r="9" spans="2:5" ht="25.5" customHeight="1">
      <c r="B9" s="137" t="s">
        <v>476</v>
      </c>
      <c r="C9" s="133"/>
    </row>
    <row r="10" spans="2:5" ht="27" customHeight="1">
      <c r="B10" s="131" t="s">
        <v>477</v>
      </c>
      <c r="C10" s="132"/>
    </row>
    <row r="11" spans="2:5" ht="24" customHeight="1">
      <c r="B11" s="131" t="s">
        <v>478</v>
      </c>
      <c r="C11" s="132"/>
    </row>
    <row r="12" spans="2:5" ht="24.75" customHeight="1">
      <c r="B12" s="837" t="s">
        <v>479</v>
      </c>
      <c r="C12" s="133"/>
    </row>
    <row r="13" spans="2:5" ht="24.75" customHeight="1">
      <c r="B13" s="838"/>
      <c r="C13" s="134"/>
    </row>
    <row r="14" spans="2:5" ht="26.25" customHeight="1">
      <c r="B14" s="131" t="s">
        <v>480</v>
      </c>
      <c r="C14" s="132"/>
    </row>
    <row r="15" spans="2:5" ht="23.25" customHeight="1">
      <c r="B15" s="137" t="s">
        <v>481</v>
      </c>
      <c r="C15" s="133"/>
    </row>
    <row r="16" spans="2:5" ht="27">
      <c r="B16" s="137" t="s">
        <v>482</v>
      </c>
      <c r="C16" s="133"/>
    </row>
    <row r="17" spans="2:3" ht="27.75" customHeight="1">
      <c r="B17" s="131" t="s">
        <v>483</v>
      </c>
      <c r="C17" s="132"/>
    </row>
    <row r="18" spans="2:3" ht="43.5" customHeight="1">
      <c r="B18" s="131" t="s">
        <v>484</v>
      </c>
      <c r="C18" s="132"/>
    </row>
    <row r="19" spans="2:3" ht="87" customHeight="1" thickBot="1">
      <c r="B19" s="135" t="s">
        <v>485</v>
      </c>
      <c r="C19" s="136"/>
    </row>
  </sheetData>
  <mergeCells count="2">
    <mergeCell ref="B12:B13"/>
    <mergeCell ref="B2:E2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17</vt:i4>
      </vt:variant>
      <vt:variant>
        <vt:lpstr>이름 지정된 범위</vt:lpstr>
      </vt:variant>
      <vt:variant>
        <vt:i4>16</vt:i4>
      </vt:variant>
    </vt:vector>
  </HeadingPairs>
  <TitlesOfParts>
    <vt:vector size="33" baseType="lpstr">
      <vt:lpstr>목록</vt:lpstr>
      <vt:lpstr>1. 기초재무상태조사</vt:lpstr>
      <vt:lpstr>2. 중장기영농목표</vt:lpstr>
      <vt:lpstr>3.투자계획</vt:lpstr>
      <vt:lpstr>4. 원리금상환계획</vt:lpstr>
      <vt:lpstr> 5. 판매계획</vt:lpstr>
      <vt:lpstr>6. 생산계획</vt:lpstr>
      <vt:lpstr>7. 영농자재소요계획</vt:lpstr>
      <vt:lpstr>8. 노무비계획</vt:lpstr>
      <vt:lpstr>9 .경비계획</vt:lpstr>
      <vt:lpstr>10. 감가상각비계획 </vt:lpstr>
      <vt:lpstr>11. 생산원가계획</vt:lpstr>
      <vt:lpstr>12 손익계획</vt:lpstr>
      <vt:lpstr>13. 추정대차대조표</vt:lpstr>
      <vt:lpstr>14. 현금흐름계획</vt:lpstr>
      <vt:lpstr>15.추정소득분석</vt:lpstr>
      <vt:lpstr>참고1. 모델농장분석</vt:lpstr>
      <vt:lpstr>' 5. 판매계획'!Print_Area</vt:lpstr>
      <vt:lpstr>'1. 기초재무상태조사'!Print_Area</vt:lpstr>
      <vt:lpstr>'10. 감가상각비계획 '!Print_Area</vt:lpstr>
      <vt:lpstr>'11. 생산원가계획'!Print_Area</vt:lpstr>
      <vt:lpstr>'12 손익계획'!Print_Area</vt:lpstr>
      <vt:lpstr>'13. 추정대차대조표'!Print_Area</vt:lpstr>
      <vt:lpstr>'14. 현금흐름계획'!Print_Area</vt:lpstr>
      <vt:lpstr>'15.추정소득분석'!Print_Area</vt:lpstr>
      <vt:lpstr>'2. 중장기영농목표'!Print_Area</vt:lpstr>
      <vt:lpstr>'3.투자계획'!Print_Area</vt:lpstr>
      <vt:lpstr>'4. 원리금상환계획'!Print_Area</vt:lpstr>
      <vt:lpstr>'6. 생산계획'!Print_Area</vt:lpstr>
      <vt:lpstr>'7. 영농자재소요계획'!Print_Area</vt:lpstr>
      <vt:lpstr>'8. 노무비계획'!Print_Area</vt:lpstr>
      <vt:lpstr>'9 .경비계획'!Print_Area</vt:lpstr>
      <vt:lpstr>목록!Print_Area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